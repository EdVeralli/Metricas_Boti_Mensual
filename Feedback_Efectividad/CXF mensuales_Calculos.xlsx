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GCBA\Metricas_Boti_Mensual\Feedback_Efectividad\"/>
    </mc:Choice>
  </mc:AlternateContent>
  <xr:revisionPtr revIDLastSave="0" documentId="8_{DB9EEFF6-489D-4FBF-8676-76FBBECC4B0F}" xr6:coauthVersionLast="47" xr6:coauthVersionMax="47" xr10:uidLastSave="{00000000-0000-0000-0000-000000000000}"/>
  <bookViews>
    <workbookView xWindow="-108" yWindow="-108" windowWidth="23256" windowHeight="12456" firstSheet="2" activeTab="1" xr2:uid="{00000000-000D-0000-FFFF-FFFF00000000}"/>
  </bookViews>
  <sheets>
    <sheet name="base cruda noviembre" sheetId="14" r:id="rId1"/>
    <sheet name="Efectividad 2025" sheetId="2" r:id="rId2"/>
    <sheet name="esfuerzo CES" sheetId="4" r:id="rId3"/>
    <sheet name="CSAT 2025" sheetId="3" r:id="rId4"/>
  </sheets>
  <definedNames>
    <definedName name="_xlnm._FilterDatabase" localSheetId="0" hidden="1">'base cruda noviembre'!$A$1:$B$1</definedName>
    <definedName name="_xlnm._FilterDatabase" localSheetId="2" hidden="1">'esfuerzo CES'!#REF!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C9" i="4"/>
  <c r="D8" i="4"/>
  <c r="D7" i="4"/>
  <c r="B13" i="2"/>
  <c r="B3" i="3"/>
  <c r="B14" i="4"/>
  <c r="B15" i="4"/>
  <c r="B16" i="4"/>
  <c r="B17" i="4"/>
  <c r="B18" i="4"/>
  <c r="B19" i="4"/>
  <c r="B20" i="4"/>
  <c r="B21" i="4"/>
  <c r="B22" i="4"/>
  <c r="B23" i="4"/>
  <c r="C7" i="4"/>
  <c r="C6" i="4"/>
  <c r="D6" i="4" s="1"/>
  <c r="B4" i="3"/>
  <c r="B5" i="3"/>
  <c r="B6" i="3"/>
  <c r="B7" i="3"/>
  <c r="B8" i="3"/>
  <c r="B9" i="3"/>
  <c r="B10" i="3"/>
  <c r="B11" i="3"/>
  <c r="B12" i="3"/>
  <c r="B13" i="3"/>
  <c r="B15" i="3"/>
  <c r="B16" i="3"/>
  <c r="B17" i="3"/>
  <c r="B7" i="2"/>
  <c r="B6" i="2"/>
  <c r="B4" i="2"/>
  <c r="B10" i="2"/>
  <c r="B9" i="2"/>
  <c r="B21" i="3" l="1"/>
  <c r="B20" i="3"/>
  <c r="C3" i="4"/>
  <c r="C5" i="4"/>
  <c r="D5" i="4" s="1"/>
  <c r="C4" i="4"/>
  <c r="D4" i="4" s="1"/>
  <c r="B14" i="2"/>
  <c r="B15" i="2" s="1"/>
  <c r="C13" i="2" s="1"/>
  <c r="D3" i="4"/>
  <c r="B22" i="3"/>
  <c r="C20" i="3"/>
  <c r="C21" i="3"/>
  <c r="C14" i="2" l="1"/>
  <c r="C8" i="4"/>
</calcChain>
</file>

<file path=xl/sharedStrings.xml><?xml version="1.0" encoding="utf-8"?>
<sst xmlns="http://schemas.openxmlformats.org/spreadsheetml/2006/main" count="121" uniqueCount="87">
  <si>
    <t>rule_name</t>
  </si>
  <si>
    <t>Cant_Sesiones</t>
  </si>
  <si>
    <t>CXF01CUX04 P3 CATs</t>
  </si>
  <si>
    <t>CXF01CUX04 Muy difícil CATs</t>
  </si>
  <si>
    <t>CXF01CUX03 P2 Pushes</t>
  </si>
  <si>
    <t>CXF01CUX00 Cierre Sin Sugerencia</t>
  </si>
  <si>
    <t>CXF01CUX02 P3 Estáticos</t>
  </si>
  <si>
    <t>CXF01CUX02 P4 Estáticos</t>
  </si>
  <si>
    <t>CXF01CUX02 No sé Estáticos</t>
  </si>
  <si>
    <t>CXF01CUX02 No Estáticos</t>
  </si>
  <si>
    <t>CXF01CUX03 Muy conforme Pushes</t>
  </si>
  <si>
    <t>CXF01CUX03 P3 Pushes</t>
  </si>
  <si>
    <t>CXF01CUX04 Conforme CATs</t>
  </si>
  <si>
    <t>CXF01CUX02 Sí Estáticos</t>
  </si>
  <si>
    <t>CXF01CUX04 P2 CATs</t>
  </si>
  <si>
    <t>CXF01CUX01 Conforme Integraciones</t>
  </si>
  <si>
    <t>CXF01CUX04 No CATs</t>
  </si>
  <si>
    <t>CXF01CUX04 No sé CATs</t>
  </si>
  <si>
    <t>CXF01CUX02 Conforme Estáticos</t>
  </si>
  <si>
    <t>CXF01CUX01 P1 Integraciones</t>
  </si>
  <si>
    <t>CXF01CUX04 Sí CATs</t>
  </si>
  <si>
    <t>CXF01CUX02 P2 Estáticos</t>
  </si>
  <si>
    <t>CXF01CUX04 Difícil CATs</t>
  </si>
  <si>
    <t>CXF01CUX02 Difícil Estáticos</t>
  </si>
  <si>
    <t>CXF01CUX02 Inconforme Estáticos</t>
  </si>
  <si>
    <t>CXF01CUX01 Sí Integraciones</t>
  </si>
  <si>
    <t>CXF01CUX01 Muy fácil Integraciones</t>
  </si>
  <si>
    <t>CXF01CUX02 Fácil Estáticos</t>
  </si>
  <si>
    <t>CXF01CUX00 Cierre Con sugerencia</t>
  </si>
  <si>
    <t>CXF01CUX01 Difícil Integraciones</t>
  </si>
  <si>
    <t>CXF01CUX03 Muy inconforme Pushes</t>
  </si>
  <si>
    <t>CXF01CUX04 Muy inconforme CATs</t>
  </si>
  <si>
    <t>CXF01CUX02 Muy fácil Estáticos</t>
  </si>
  <si>
    <t>CXF01CUX02 Muy conforme Estáticos</t>
  </si>
  <si>
    <t>CXF01CUX02 P1 Estáticos</t>
  </si>
  <si>
    <t>CXF01CUX01 Fácil Integraciones</t>
  </si>
  <si>
    <t>CXF01CUX01 Muy conforme Integraciones</t>
  </si>
  <si>
    <t>CXF01CUX01 P3 Integraciones</t>
  </si>
  <si>
    <t>CXF01CUX01 P4 Integraciones</t>
  </si>
  <si>
    <t>CXF01CUX04 Muy fácil CATs</t>
  </si>
  <si>
    <t>CXF01CUX03 No sé Pushes</t>
  </si>
  <si>
    <t>CXF01CUX00 Preapertura</t>
  </si>
  <si>
    <t>CXF01CUX02 Más o menos Estáticos</t>
  </si>
  <si>
    <t>CXF01CUX01 Muy difícil Integraciones</t>
  </si>
  <si>
    <t>CXF01CUX02 Muy inconforme Estáticos</t>
  </si>
  <si>
    <t>CXF01CUX03 Conforme Pushes</t>
  </si>
  <si>
    <t>CXF01CUX04 Muy conforme CATs</t>
  </si>
  <si>
    <t>CXF01CUX01 Inconforme Integraciones</t>
  </si>
  <si>
    <t>CXF01CUX03 Sí Pushes</t>
  </si>
  <si>
    <t>CXF01CUX04 Fácil CATs</t>
  </si>
  <si>
    <t>CXF01CUX01 No Integraciones</t>
  </si>
  <si>
    <t>CXF01CUX01 Más o menos Integraciones</t>
  </si>
  <si>
    <t>CXF01CUX03 No Pushes</t>
  </si>
  <si>
    <t>CXF01CUX03 No avisos Pushes</t>
  </si>
  <si>
    <t>CXF01CUX02 Muy difícil Estáticos</t>
  </si>
  <si>
    <t xml:space="preserve">CXF01CUX01 No sé Integraciones </t>
  </si>
  <si>
    <t>CXF01CUX04 P4 CATs</t>
  </si>
  <si>
    <t>CXF01CUX01 Muy inconforme Integraciones</t>
  </si>
  <si>
    <t>CXF01CUX04 Inconforme CATs</t>
  </si>
  <si>
    <t>CXF01CUX04 Ni fácil ni difícil CATs</t>
  </si>
  <si>
    <t>CXF01CUX04 P1 CATs</t>
  </si>
  <si>
    <t>CXF01CUX01 P2 Integraciones</t>
  </si>
  <si>
    <t>noviembre  mensuales</t>
  </si>
  <si>
    <t>Integraciones</t>
  </si>
  <si>
    <t>Estáticos</t>
  </si>
  <si>
    <t>Pushes</t>
  </si>
  <si>
    <t>Respuestas</t>
  </si>
  <si>
    <t>Efectividad</t>
  </si>
  <si>
    <t>Positivas</t>
  </si>
  <si>
    <t>Negativo</t>
  </si>
  <si>
    <t>noviembre mensuales</t>
  </si>
  <si>
    <t>Respuesta</t>
  </si>
  <si>
    <t>Valores CES</t>
  </si>
  <si>
    <t>Total</t>
  </si>
  <si>
    <t>Ponderado</t>
  </si>
  <si>
    <t>Muy difícil</t>
  </si>
  <si>
    <t>Difícil</t>
  </si>
  <si>
    <t>Más o menos</t>
  </si>
  <si>
    <t>Fácil</t>
  </si>
  <si>
    <t>Muy fácil</t>
  </si>
  <si>
    <t>Totales:</t>
  </si>
  <si>
    <t>CES</t>
  </si>
  <si>
    <t>noviembre 01/10 al 20/10 oct</t>
  </si>
  <si>
    <t>sesiones</t>
  </si>
  <si>
    <t>CXF01CUX03 Inconforme Pushes</t>
  </si>
  <si>
    <t>-</t>
  </si>
  <si>
    <t>Satisfacción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</si>
</sst>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1" xfId="0" applyFont="1" applyBorder="1"/>
    <xf numFmtId="0" fontId="0" fillId="5" borderId="5" xfId="0" applyFill="1" applyBorder="1"/>
    <xf numFmtId="0" fontId="0" fillId="6" borderId="4" xfId="0" applyFill="1" applyBorder="1"/>
    <xf numFmtId="0" fontId="0" fillId="6" borderId="5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7" xfId="0" applyFill="1" applyBorder="1"/>
    <xf numFmtId="10" fontId="2" fillId="8" borderId="3" xfId="0" applyNumberFormat="1" applyFont="1" applyFill="1" applyBorder="1"/>
    <xf numFmtId="10" fontId="2" fillId="3" borderId="3" xfId="0" applyNumberFormat="1" applyFont="1" applyFill="1" applyBorder="1"/>
    <xf numFmtId="0" fontId="2" fillId="0" borderId="1" xfId="0" applyFont="1" applyBorder="1"/>
    <xf numFmtId="1" fontId="2" fillId="0" borderId="1" xfId="0" applyNumberFormat="1" applyFont="1" applyBorder="1"/>
    <xf numFmtId="0" fontId="1" fillId="5" borderId="7" xfId="0" applyFont="1" applyFill="1" applyBorder="1"/>
    <xf numFmtId="0" fontId="0" fillId="5" borderId="9" xfId="0" applyFill="1" applyBorder="1"/>
    <xf numFmtId="2" fontId="1" fillId="5" borderId="8" xfId="0" applyNumberFormat="1" applyFont="1" applyFill="1" applyBorder="1"/>
    <xf numFmtId="0" fontId="0" fillId="5" borderId="4" xfId="0" applyFill="1" applyBorder="1"/>
    <xf numFmtId="0" fontId="1" fillId="4" borderId="11" xfId="0" applyFont="1" applyFill="1" applyBorder="1"/>
    <xf numFmtId="0" fontId="1" fillId="0" borderId="0" xfId="0" applyFont="1"/>
    <xf numFmtId="0" fontId="1" fillId="0" borderId="10" xfId="0" applyFont="1" applyBorder="1" applyAlignment="1">
      <alignment horizontal="center"/>
    </xf>
    <xf numFmtId="0" fontId="0" fillId="0" borderId="6" xfId="0" applyBorder="1"/>
    <xf numFmtId="0" fontId="0" fillId="0" borderId="12" xfId="0" applyBorder="1"/>
    <xf numFmtId="0" fontId="0" fillId="0" borderId="5" xfId="0" applyBorder="1"/>
    <xf numFmtId="0" fontId="1" fillId="0" borderId="12" xfId="0" applyFont="1" applyBorder="1"/>
    <xf numFmtId="10" fontId="0" fillId="0" borderId="6" xfId="0" applyNumberFormat="1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1" fillId="0" borderId="13" xfId="0" applyFont="1" applyBorder="1"/>
    <xf numFmtId="0" fontId="0" fillId="0" borderId="14" xfId="0" applyBorder="1"/>
    <xf numFmtId="0" fontId="0" fillId="5" borderId="2" xfId="0" applyFill="1" applyBorder="1" applyAlignment="1">
      <alignment horizontal="center"/>
    </xf>
    <xf numFmtId="0" fontId="1" fillId="4" borderId="18" xfId="0" applyFont="1" applyFill="1" applyBorder="1"/>
    <xf numFmtId="0" fontId="0" fillId="0" borderId="0" xfId="0" applyAlignment="1">
      <alignment horizontal="center"/>
    </xf>
    <xf numFmtId="0" fontId="3" fillId="9" borderId="15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642C-6FEE-426D-B6F2-3346820C35AF}">
  <dimension ref="A1:B61"/>
  <sheetViews>
    <sheetView topLeftCell="A29" workbookViewId="0">
      <selection activeCell="D7" sqref="D7"/>
    </sheetView>
  </sheetViews>
  <sheetFormatPr baseColWidth="10" defaultColWidth="8.796875" defaultRowHeight="13.8"/>
  <cols>
    <col min="1" max="1" width="36.69921875" customWidth="1"/>
    <col min="2" max="2" width="21.8984375" customWidth="1"/>
  </cols>
  <sheetData>
    <row r="1" spans="1:2">
      <c r="A1" s="19" t="s">
        <v>0</v>
      </c>
      <c r="B1" s="19" t="s">
        <v>1</v>
      </c>
    </row>
    <row r="2" spans="1:2">
      <c r="A2" t="s">
        <v>2</v>
      </c>
      <c r="B2">
        <v>1995</v>
      </c>
    </row>
    <row r="3" spans="1:2">
      <c r="A3" t="s">
        <v>3</v>
      </c>
      <c r="B3">
        <v>198</v>
      </c>
    </row>
    <row r="4" spans="1:2">
      <c r="A4" t="s">
        <v>4</v>
      </c>
      <c r="B4">
        <v>78</v>
      </c>
    </row>
    <row r="5" spans="1:2">
      <c r="A5" t="s">
        <v>5</v>
      </c>
      <c r="B5">
        <v>26833</v>
      </c>
    </row>
    <row r="6" spans="1:2">
      <c r="A6" t="s">
        <v>6</v>
      </c>
      <c r="B6">
        <v>10649</v>
      </c>
    </row>
    <row r="7" spans="1:2">
      <c r="A7" t="s">
        <v>7</v>
      </c>
      <c r="B7">
        <v>9121</v>
      </c>
    </row>
    <row r="8" spans="1:2">
      <c r="A8" t="s">
        <v>8</v>
      </c>
      <c r="B8">
        <v>1146</v>
      </c>
    </row>
    <row r="9" spans="1:2">
      <c r="A9" t="s">
        <v>9</v>
      </c>
      <c r="B9">
        <v>8597</v>
      </c>
    </row>
    <row r="10" spans="1:2">
      <c r="A10" t="s">
        <v>10</v>
      </c>
      <c r="B10">
        <v>18</v>
      </c>
    </row>
    <row r="11" spans="1:2">
      <c r="A11" t="s">
        <v>11</v>
      </c>
      <c r="B11">
        <v>35</v>
      </c>
    </row>
    <row r="12" spans="1:2">
      <c r="A12" t="s">
        <v>12</v>
      </c>
      <c r="B12">
        <v>315</v>
      </c>
    </row>
    <row r="13" spans="1:2">
      <c r="A13" t="s">
        <v>13</v>
      </c>
      <c r="B13">
        <v>7475</v>
      </c>
    </row>
    <row r="14" spans="1:2">
      <c r="A14" t="s">
        <v>14</v>
      </c>
      <c r="B14">
        <v>2248</v>
      </c>
    </row>
    <row r="15" spans="1:2">
      <c r="A15" t="s">
        <v>15</v>
      </c>
      <c r="B15">
        <v>3473</v>
      </c>
    </row>
    <row r="16" spans="1:2">
      <c r="A16" t="s">
        <v>16</v>
      </c>
      <c r="B16">
        <v>566</v>
      </c>
    </row>
    <row r="17" spans="1:2">
      <c r="A17" t="s">
        <v>17</v>
      </c>
      <c r="B17">
        <v>106</v>
      </c>
    </row>
    <row r="18" spans="1:2">
      <c r="A18" t="s">
        <v>18</v>
      </c>
      <c r="B18">
        <v>2032</v>
      </c>
    </row>
    <row r="19" spans="1:2">
      <c r="A19" t="s">
        <v>19</v>
      </c>
      <c r="B19">
        <v>123098</v>
      </c>
    </row>
    <row r="20" spans="1:2">
      <c r="A20" t="s">
        <v>20</v>
      </c>
      <c r="B20">
        <v>1682</v>
      </c>
    </row>
    <row r="21" spans="1:2">
      <c r="A21" t="s">
        <v>21</v>
      </c>
      <c r="B21">
        <v>16071</v>
      </c>
    </row>
    <row r="22" spans="1:2">
      <c r="A22" t="s">
        <v>22</v>
      </c>
      <c r="B22">
        <v>206</v>
      </c>
    </row>
    <row r="23" spans="1:2">
      <c r="A23" t="s">
        <v>23</v>
      </c>
      <c r="B23">
        <v>1251</v>
      </c>
    </row>
    <row r="24" spans="1:2">
      <c r="A24" t="s">
        <v>24</v>
      </c>
      <c r="B24">
        <v>1153</v>
      </c>
    </row>
    <row r="25" spans="1:2">
      <c r="A25" t="s">
        <v>25</v>
      </c>
      <c r="B25">
        <v>17380</v>
      </c>
    </row>
    <row r="26" spans="1:2">
      <c r="A26" t="s">
        <v>26</v>
      </c>
      <c r="B26">
        <v>9359</v>
      </c>
    </row>
    <row r="27" spans="1:2">
      <c r="A27" t="s">
        <v>27</v>
      </c>
      <c r="B27">
        <v>1897</v>
      </c>
    </row>
    <row r="28" spans="1:2">
      <c r="A28" t="s">
        <v>28</v>
      </c>
      <c r="B28">
        <v>17031</v>
      </c>
    </row>
    <row r="29" spans="1:2">
      <c r="A29" t="s">
        <v>29</v>
      </c>
      <c r="B29">
        <v>1062</v>
      </c>
    </row>
    <row r="30" spans="1:2">
      <c r="A30" t="s">
        <v>30</v>
      </c>
      <c r="B30">
        <v>2</v>
      </c>
    </row>
    <row r="31" spans="1:2">
      <c r="A31" t="s">
        <v>31</v>
      </c>
      <c r="B31">
        <v>247</v>
      </c>
    </row>
    <row r="32" spans="1:2">
      <c r="A32" t="s">
        <v>32</v>
      </c>
      <c r="B32">
        <v>2752</v>
      </c>
    </row>
    <row r="33" spans="1:2">
      <c r="A33" t="s">
        <v>33</v>
      </c>
      <c r="B33">
        <v>2812</v>
      </c>
    </row>
    <row r="34" spans="1:2">
      <c r="A34" t="s">
        <v>34</v>
      </c>
      <c r="B34">
        <v>219778</v>
      </c>
    </row>
    <row r="35" spans="1:2">
      <c r="A35" t="s">
        <v>35</v>
      </c>
      <c r="B35">
        <v>3609</v>
      </c>
    </row>
    <row r="36" spans="1:2">
      <c r="A36" t="s">
        <v>36</v>
      </c>
      <c r="B36">
        <v>8076</v>
      </c>
    </row>
    <row r="37" spans="1:2">
      <c r="A37" t="s">
        <v>37</v>
      </c>
      <c r="B37">
        <v>18343</v>
      </c>
    </row>
    <row r="38" spans="1:2">
      <c r="A38" t="s">
        <v>38</v>
      </c>
      <c r="B38">
        <v>15854</v>
      </c>
    </row>
    <row r="39" spans="1:2">
      <c r="A39" t="s">
        <v>39</v>
      </c>
      <c r="B39">
        <v>697</v>
      </c>
    </row>
    <row r="40" spans="1:2">
      <c r="A40" t="s">
        <v>40</v>
      </c>
      <c r="B40">
        <v>5</v>
      </c>
    </row>
    <row r="41" spans="1:2">
      <c r="A41" t="s">
        <v>41</v>
      </c>
      <c r="B41">
        <v>342847</v>
      </c>
    </row>
    <row r="42" spans="1:2">
      <c r="A42" t="s">
        <v>42</v>
      </c>
      <c r="B42">
        <v>1803</v>
      </c>
    </row>
    <row r="43" spans="1:2">
      <c r="A43" t="s">
        <v>43</v>
      </c>
      <c r="B43">
        <v>2197</v>
      </c>
    </row>
    <row r="44" spans="1:2">
      <c r="A44" t="s">
        <v>44</v>
      </c>
      <c r="B44">
        <v>1979</v>
      </c>
    </row>
    <row r="45" spans="1:2">
      <c r="A45" t="s">
        <v>45</v>
      </c>
      <c r="B45">
        <v>10</v>
      </c>
    </row>
    <row r="46" spans="1:2">
      <c r="A46" t="s">
        <v>46</v>
      </c>
      <c r="B46">
        <v>1224</v>
      </c>
    </row>
    <row r="47" spans="1:2">
      <c r="A47" t="s">
        <v>47</v>
      </c>
      <c r="B47">
        <v>1245</v>
      </c>
    </row>
    <row r="48" spans="1:2">
      <c r="A48" t="s">
        <v>48</v>
      </c>
      <c r="B48">
        <v>62</v>
      </c>
    </row>
    <row r="49" spans="1:2">
      <c r="A49" t="s">
        <v>49</v>
      </c>
      <c r="B49">
        <v>469</v>
      </c>
    </row>
    <row r="50" spans="1:2">
      <c r="A50" t="s">
        <v>50</v>
      </c>
      <c r="B50">
        <v>8606</v>
      </c>
    </row>
    <row r="51" spans="1:2">
      <c r="A51" t="s">
        <v>51</v>
      </c>
      <c r="B51">
        <v>2116</v>
      </c>
    </row>
    <row r="52" spans="1:2">
      <c r="A52" t="s">
        <v>52</v>
      </c>
      <c r="B52">
        <v>18</v>
      </c>
    </row>
    <row r="53" spans="1:2">
      <c r="A53" t="s">
        <v>53</v>
      </c>
      <c r="B53">
        <v>11</v>
      </c>
    </row>
    <row r="54" spans="1:2">
      <c r="A54" t="s">
        <v>54</v>
      </c>
      <c r="B54">
        <v>2948</v>
      </c>
    </row>
    <row r="55" spans="1:2">
      <c r="A55" t="s">
        <v>55</v>
      </c>
      <c r="B55">
        <v>1262</v>
      </c>
    </row>
    <row r="56" spans="1:2">
      <c r="A56" t="s">
        <v>56</v>
      </c>
      <c r="B56">
        <v>1852</v>
      </c>
    </row>
    <row r="57" spans="1:2">
      <c r="A57" t="s">
        <v>57</v>
      </c>
      <c r="B57">
        <v>1799</v>
      </c>
    </row>
    <row r="58" spans="1:2">
      <c r="A58" t="s">
        <v>58</v>
      </c>
      <c r="B58">
        <v>103</v>
      </c>
    </row>
    <row r="59" spans="1:2">
      <c r="A59" t="s">
        <v>59</v>
      </c>
      <c r="B59">
        <v>282</v>
      </c>
    </row>
    <row r="60" spans="1:2">
      <c r="A60" t="s">
        <v>60</v>
      </c>
      <c r="B60">
        <v>3573</v>
      </c>
    </row>
    <row r="61" spans="1:2">
      <c r="A61" t="s">
        <v>61</v>
      </c>
      <c r="B61">
        <v>25985</v>
      </c>
    </row>
  </sheetData>
  <autoFilter ref="A1:B1" xr:uid="{E18A642C-6FEE-426D-B6F2-3346820C35A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F8DB-B434-469A-9566-AD2652A54F14}">
  <dimension ref="A1:C15"/>
  <sheetViews>
    <sheetView tabSelected="1" workbookViewId="0">
      <selection activeCell="F6" sqref="F6"/>
    </sheetView>
  </sheetViews>
  <sheetFormatPr baseColWidth="10" defaultColWidth="8.796875" defaultRowHeight="13.8"/>
  <cols>
    <col min="1" max="1" width="31.8984375" customWidth="1"/>
    <col min="2" max="2" width="18.8984375" customWidth="1"/>
    <col min="3" max="3" width="13.3984375" customWidth="1"/>
  </cols>
  <sheetData>
    <row r="1" spans="1:3" ht="24.75" customHeight="1">
      <c r="A1" s="37" t="s">
        <v>62</v>
      </c>
      <c r="B1" s="38"/>
      <c r="C1" s="39"/>
    </row>
    <row r="2" spans="1:3">
      <c r="A2" s="40" t="s">
        <v>63</v>
      </c>
      <c r="B2" s="41"/>
      <c r="C2" s="21"/>
    </row>
    <row r="3" spans="1:3">
      <c r="A3" s="22" t="s">
        <v>50</v>
      </c>
      <c r="B3" s="1">
        <f>VLOOKUP(A3, 'base cruda noviembre'!A:B,2,0)</f>
        <v>8606</v>
      </c>
      <c r="C3" s="21"/>
    </row>
    <row r="4" spans="1:3">
      <c r="A4" s="22" t="s">
        <v>25</v>
      </c>
      <c r="B4" s="1">
        <f>VLOOKUP(A4, 'base cruda noviembre'!A:B,2,0)</f>
        <v>17380</v>
      </c>
      <c r="C4" s="21"/>
    </row>
    <row r="5" spans="1:3">
      <c r="A5" s="42" t="s">
        <v>64</v>
      </c>
      <c r="B5" s="43"/>
      <c r="C5" s="21"/>
    </row>
    <row r="6" spans="1:3">
      <c r="A6" s="22" t="s">
        <v>9</v>
      </c>
      <c r="B6" s="1">
        <f>VLOOKUP(A6, 'base cruda noviembre'!A:B,2,0)</f>
        <v>8597</v>
      </c>
      <c r="C6" s="21"/>
    </row>
    <row r="7" spans="1:3">
      <c r="A7" s="22" t="s">
        <v>13</v>
      </c>
      <c r="B7" s="1">
        <f>VLOOKUP(A7, 'base cruda noviembre'!A:B,2,0)</f>
        <v>7475</v>
      </c>
      <c r="C7" s="21"/>
    </row>
    <row r="8" spans="1:3">
      <c r="A8" s="42" t="s">
        <v>65</v>
      </c>
      <c r="B8" s="43"/>
      <c r="C8" s="21"/>
    </row>
    <row r="9" spans="1:3">
      <c r="A9" s="22" t="s">
        <v>52</v>
      </c>
      <c r="B9" s="1">
        <f>VLOOKUP(A9, 'base cruda noviembre'!A:B,2,0)</f>
        <v>18</v>
      </c>
      <c r="C9" s="21"/>
    </row>
    <row r="10" spans="1:3">
      <c r="A10" s="22" t="s">
        <v>48</v>
      </c>
      <c r="B10" s="1">
        <f>VLOOKUP(A10, 'base cruda noviembre'!A:B,2,0)</f>
        <v>62</v>
      </c>
      <c r="C10" s="21"/>
    </row>
    <row r="11" spans="1:3">
      <c r="A11" s="23"/>
      <c r="C11" s="21"/>
    </row>
    <row r="12" spans="1:3">
      <c r="A12" s="29" t="s">
        <v>66</v>
      </c>
      <c r="B12" s="30"/>
      <c r="C12" s="2" t="s">
        <v>67</v>
      </c>
    </row>
    <row r="13" spans="1:3" ht="14.4">
      <c r="A13" s="23" t="s">
        <v>68</v>
      </c>
      <c r="B13">
        <f>SUM(B4,B7,B10)</f>
        <v>24917</v>
      </c>
      <c r="C13" s="11">
        <f>(B13/B15)</f>
        <v>0.59131899947790589</v>
      </c>
    </row>
    <row r="14" spans="1:3">
      <c r="A14" s="23" t="s">
        <v>69</v>
      </c>
      <c r="B14">
        <f>SUM(B3,B6,B9)</f>
        <v>17221</v>
      </c>
      <c r="C14" s="25">
        <f>(B14/B15)</f>
        <v>0.40868100052209405</v>
      </c>
    </row>
    <row r="15" spans="1:3">
      <c r="A15" s="26"/>
      <c r="B15" s="27">
        <f>SUM(B13:B14)</f>
        <v>42138</v>
      </c>
      <c r="C15" s="28"/>
    </row>
  </sheetData>
  <mergeCells count="4">
    <mergeCell ref="A1:C1"/>
    <mergeCell ref="A2:B2"/>
    <mergeCell ref="A5:B5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254C-C8BF-491A-BB66-16B6B933C6A1}">
  <dimension ref="A1:D23"/>
  <sheetViews>
    <sheetView workbookViewId="0">
      <selection activeCell="G22" sqref="G22"/>
    </sheetView>
  </sheetViews>
  <sheetFormatPr baseColWidth="10" defaultColWidth="8.796875" defaultRowHeight="13.8"/>
  <cols>
    <col min="1" max="1" width="55" customWidth="1"/>
    <col min="2" max="2" width="13" customWidth="1"/>
    <col min="3" max="3" width="15.69921875" customWidth="1"/>
    <col min="4" max="4" width="13.09765625" customWidth="1"/>
  </cols>
  <sheetData>
    <row r="1" spans="1:4" ht="15.6">
      <c r="A1" s="37" t="s">
        <v>70</v>
      </c>
      <c r="B1" s="38"/>
      <c r="C1" s="39"/>
      <c r="D1" s="20"/>
    </row>
    <row r="2" spans="1:4">
      <c r="A2" s="3" t="s">
        <v>71</v>
      </c>
      <c r="B2" s="3" t="s">
        <v>72</v>
      </c>
      <c r="C2" s="3" t="s">
        <v>73</v>
      </c>
      <c r="D2" s="3" t="s">
        <v>74</v>
      </c>
    </row>
    <row r="3" spans="1:4" ht="14.4">
      <c r="A3" s="1" t="s">
        <v>75</v>
      </c>
      <c r="B3" s="12">
        <v>5</v>
      </c>
      <c r="C3" s="12">
        <f>SUM(B17,B22)</f>
        <v>5145</v>
      </c>
      <c r="D3" s="13">
        <f>(B3*C3)</f>
        <v>25725</v>
      </c>
    </row>
    <row r="4" spans="1:4" ht="14.4">
      <c r="A4" s="1" t="s">
        <v>76</v>
      </c>
      <c r="B4" s="12">
        <v>4</v>
      </c>
      <c r="C4" s="12">
        <f>SUM(B14,B19)</f>
        <v>2313</v>
      </c>
      <c r="D4" s="13">
        <f>(B4*C4)</f>
        <v>9252</v>
      </c>
    </row>
    <row r="5" spans="1:4" ht="14.4">
      <c r="A5" s="1" t="s">
        <v>77</v>
      </c>
      <c r="B5" s="12">
        <v>3</v>
      </c>
      <c r="C5" s="12">
        <f>SUM(B16,B21)</f>
        <v>3919</v>
      </c>
      <c r="D5" s="13">
        <f>(B5*C5)</f>
        <v>11757</v>
      </c>
    </row>
    <row r="6" spans="1:4" ht="14.4">
      <c r="A6" s="1" t="s">
        <v>78</v>
      </c>
      <c r="B6" s="12">
        <v>2</v>
      </c>
      <c r="C6" s="12">
        <f>SUM(B20,B15)</f>
        <v>5506</v>
      </c>
      <c r="D6" s="13">
        <f>(B6*C6)</f>
        <v>11012</v>
      </c>
    </row>
    <row r="7" spans="1:4" ht="14.4">
      <c r="A7" s="1" t="s">
        <v>79</v>
      </c>
      <c r="B7" s="12">
        <v>1</v>
      </c>
      <c r="C7" s="12">
        <f>SUM(B18,B23)</f>
        <v>12111</v>
      </c>
      <c r="D7" s="13">
        <f>(B7*C7)</f>
        <v>12111</v>
      </c>
    </row>
    <row r="8" spans="1:4" ht="14.4">
      <c r="A8" s="3" t="s">
        <v>80</v>
      </c>
      <c r="B8" s="12"/>
      <c r="C8" s="13">
        <f>SUM(C3:C7)</f>
        <v>28994</v>
      </c>
      <c r="D8" s="13">
        <f>SUM(D3:D7)</f>
        <v>69857</v>
      </c>
    </row>
    <row r="9" spans="1:4">
      <c r="A9" s="14" t="s">
        <v>81</v>
      </c>
      <c r="B9" s="15"/>
      <c r="C9" s="16">
        <f>D8/C8</f>
        <v>2.4093605573566945</v>
      </c>
    </row>
    <row r="14" spans="1:4">
      <c r="A14" t="s">
        <v>29</v>
      </c>
      <c r="B14" s="33">
        <f>VLOOKUP(A14, 'base cruda noviembre'!A:B,2,0)</f>
        <v>1062</v>
      </c>
    </row>
    <row r="15" spans="1:4">
      <c r="A15" t="s">
        <v>35</v>
      </c>
      <c r="B15" s="33">
        <f>VLOOKUP(A15, 'base cruda noviembre'!A:B,2,0)</f>
        <v>3609</v>
      </c>
    </row>
    <row r="16" spans="1:4">
      <c r="A16" t="s">
        <v>51</v>
      </c>
      <c r="B16" s="33">
        <f>VLOOKUP(A16, 'base cruda noviembre'!A:B,2,0)</f>
        <v>2116</v>
      </c>
    </row>
    <row r="17" spans="1:2">
      <c r="A17" t="s">
        <v>43</v>
      </c>
      <c r="B17" s="33">
        <f>VLOOKUP(A17, 'base cruda noviembre'!A:B,2,0)</f>
        <v>2197</v>
      </c>
    </row>
    <row r="18" spans="1:2">
      <c r="A18" t="s">
        <v>26</v>
      </c>
      <c r="B18" s="33">
        <f>VLOOKUP(A18, 'base cruda noviembre'!A:B,2,0)</f>
        <v>9359</v>
      </c>
    </row>
    <row r="19" spans="1:2">
      <c r="A19" t="s">
        <v>23</v>
      </c>
      <c r="B19" s="33">
        <f>VLOOKUP(A19, 'base cruda noviembre'!A:B,2,0)</f>
        <v>1251</v>
      </c>
    </row>
    <row r="20" spans="1:2">
      <c r="A20" t="s">
        <v>27</v>
      </c>
      <c r="B20" s="33">
        <f>VLOOKUP(A20, 'base cruda noviembre'!A:B,2,0)</f>
        <v>1897</v>
      </c>
    </row>
    <row r="21" spans="1:2">
      <c r="A21" t="s">
        <v>42</v>
      </c>
      <c r="B21" s="33">
        <f>VLOOKUP(A21, 'base cruda noviembre'!A:B,2,0)</f>
        <v>1803</v>
      </c>
    </row>
    <row r="22" spans="1:2">
      <c r="A22" t="s">
        <v>54</v>
      </c>
      <c r="B22" s="33">
        <f>VLOOKUP(A22, 'base cruda noviembre'!A:B,2,0)</f>
        <v>2948</v>
      </c>
    </row>
    <row r="23" spans="1:2">
      <c r="A23" t="s">
        <v>32</v>
      </c>
      <c r="B23" s="33">
        <f>VLOOKUP(A23, 'base cruda noviembre'!A:B,2,0)</f>
        <v>2752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58DA-A69D-43F0-9A17-6B0325FC168F}">
  <dimension ref="A1:C22"/>
  <sheetViews>
    <sheetView workbookViewId="0">
      <selection activeCell="AV15" sqref="AV15"/>
    </sheetView>
  </sheetViews>
  <sheetFormatPr baseColWidth="10" defaultColWidth="8.796875" defaultRowHeight="13.8"/>
  <cols>
    <col min="1" max="1" width="40.59765625" customWidth="1"/>
    <col min="2" max="2" width="16.3984375" customWidth="1"/>
    <col min="3" max="3" width="12.8984375" customWidth="1"/>
  </cols>
  <sheetData>
    <row r="1" spans="1:3" ht="15.6">
      <c r="A1" s="34" t="s">
        <v>82</v>
      </c>
      <c r="B1" s="35"/>
      <c r="C1" s="36"/>
    </row>
    <row r="2" spans="1:3">
      <c r="A2" s="32" t="s">
        <v>0</v>
      </c>
      <c r="B2" s="18" t="s">
        <v>83</v>
      </c>
      <c r="C2" s="21"/>
    </row>
    <row r="3" spans="1:3">
      <c r="A3" s="17" t="s">
        <v>15</v>
      </c>
      <c r="B3" s="31">
        <f>VLOOKUP(A3, 'base cruda noviembre'!A:B,2,0)</f>
        <v>3473</v>
      </c>
      <c r="C3" s="21"/>
    </row>
    <row r="4" spans="1:3">
      <c r="A4" s="4" t="s">
        <v>47</v>
      </c>
      <c r="B4" s="31">
        <f>VLOOKUP(A4, 'base cruda noviembre'!A:B,2,0)</f>
        <v>1245</v>
      </c>
      <c r="C4" s="21"/>
    </row>
    <row r="5" spans="1:3">
      <c r="A5" s="4" t="s">
        <v>36</v>
      </c>
      <c r="B5" s="31">
        <f>VLOOKUP(A5, 'base cruda noviembre'!A:B,2,0)</f>
        <v>8076</v>
      </c>
      <c r="C5" s="21"/>
    </row>
    <row r="6" spans="1:3">
      <c r="A6" s="4" t="s">
        <v>57</v>
      </c>
      <c r="B6" s="31">
        <f>VLOOKUP(A6, 'base cruda noviembre'!A:B,2,0)</f>
        <v>1799</v>
      </c>
      <c r="C6" s="21"/>
    </row>
    <row r="7" spans="1:3">
      <c r="A7" s="4" t="s">
        <v>55</v>
      </c>
      <c r="B7" s="31">
        <f>VLOOKUP(A7, 'base cruda noviembre'!A:B,2,0)</f>
        <v>1262</v>
      </c>
      <c r="C7" s="21"/>
    </row>
    <row r="8" spans="1:3">
      <c r="A8" s="5" t="s">
        <v>18</v>
      </c>
      <c r="B8" s="31">
        <f>VLOOKUP(A8, 'base cruda noviembre'!A:B,2,0)</f>
        <v>2032</v>
      </c>
      <c r="C8" s="21"/>
    </row>
    <row r="9" spans="1:3">
      <c r="A9" s="6" t="s">
        <v>24</v>
      </c>
      <c r="B9" s="31">
        <f>VLOOKUP(A9, 'base cruda noviembre'!A:B,2,0)</f>
        <v>1153</v>
      </c>
      <c r="C9" s="21"/>
    </row>
    <row r="10" spans="1:3">
      <c r="A10" s="6" t="s">
        <v>33</v>
      </c>
      <c r="B10" s="31">
        <f>VLOOKUP(A10, 'base cruda noviembre'!A:B,2,0)</f>
        <v>2812</v>
      </c>
      <c r="C10" s="21"/>
    </row>
    <row r="11" spans="1:3">
      <c r="A11" s="6" t="s">
        <v>44</v>
      </c>
      <c r="B11" s="31">
        <f>VLOOKUP(A11, 'base cruda noviembre'!A:B,2,0)</f>
        <v>1979</v>
      </c>
      <c r="C11" s="21"/>
    </row>
    <row r="12" spans="1:3">
      <c r="A12" s="6" t="s">
        <v>8</v>
      </c>
      <c r="B12" s="31">
        <f>VLOOKUP(A12, 'base cruda noviembre'!A:B,2,0)</f>
        <v>1146</v>
      </c>
      <c r="C12" s="21"/>
    </row>
    <row r="13" spans="1:3">
      <c r="A13" s="7" t="s">
        <v>45</v>
      </c>
      <c r="B13" s="31">
        <f>VLOOKUP(A13, 'base cruda noviembre'!A:B,2,0)</f>
        <v>10</v>
      </c>
      <c r="C13" s="21"/>
    </row>
    <row r="14" spans="1:3">
      <c r="A14" s="8" t="s">
        <v>84</v>
      </c>
      <c r="B14" s="31" t="s">
        <v>85</v>
      </c>
      <c r="C14" s="21"/>
    </row>
    <row r="15" spans="1:3">
      <c r="A15" s="8" t="s">
        <v>10</v>
      </c>
      <c r="B15" s="31">
        <f>VLOOKUP(A15, 'base cruda noviembre'!A:B,2,0)</f>
        <v>18</v>
      </c>
      <c r="C15" s="21"/>
    </row>
    <row r="16" spans="1:3">
      <c r="A16" s="8" t="s">
        <v>30</v>
      </c>
      <c r="B16" s="31">
        <f>VLOOKUP(A16, 'base cruda noviembre'!A:B,2,0)</f>
        <v>2</v>
      </c>
      <c r="C16" s="21"/>
    </row>
    <row r="17" spans="1:3">
      <c r="A17" s="9" t="s">
        <v>40</v>
      </c>
      <c r="B17" s="31">
        <f>VLOOKUP(A17, 'base cruda noviembre'!A:B,2,0)</f>
        <v>5</v>
      </c>
      <c r="C17" s="21"/>
    </row>
    <row r="18" spans="1:3">
      <c r="A18" s="23"/>
      <c r="C18" s="21"/>
    </row>
    <row r="19" spans="1:3">
      <c r="A19" s="24" t="s">
        <v>66</v>
      </c>
      <c r="C19" s="2" t="s">
        <v>86</v>
      </c>
    </row>
    <row r="20" spans="1:3" ht="14.4">
      <c r="A20" s="23" t="s">
        <v>68</v>
      </c>
      <c r="B20">
        <f>SUM(B3,B5,B8,B10,B13,B15)</f>
        <v>16421</v>
      </c>
      <c r="C20" s="10">
        <f>(B20/B22)</f>
        <v>0.65652486806332955</v>
      </c>
    </row>
    <row r="21" spans="1:3">
      <c r="A21" s="23" t="s">
        <v>69</v>
      </c>
      <c r="B21">
        <f>SUM(B4,B6,B7,B9,B11,B12,B14,B16,B17)</f>
        <v>8591</v>
      </c>
      <c r="C21" s="25">
        <f>(B21/B22)</f>
        <v>0.3434751319366704</v>
      </c>
    </row>
    <row r="22" spans="1:3">
      <c r="A22" s="26"/>
      <c r="B22" s="27">
        <f>SUM(B20:B21)</f>
        <v>25012</v>
      </c>
      <c r="C22" s="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ea3016-a968-4b32-b1b3-cb6a5d3f073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D6EF20B000EC439DC8734A21E6E7B9" ma:contentTypeVersion="12" ma:contentTypeDescription="Crear nuevo documento." ma:contentTypeScope="" ma:versionID="d02a462a076c558342a879a9a6a70e06">
  <xsd:schema xmlns:xsd="http://www.w3.org/2001/XMLSchema" xmlns:xs="http://www.w3.org/2001/XMLSchema" xmlns:p="http://schemas.microsoft.com/office/2006/metadata/properties" xmlns:ns2="bbea3016-a968-4b32-b1b3-cb6a5d3f0737" targetNamespace="http://schemas.microsoft.com/office/2006/metadata/properties" ma:root="true" ma:fieldsID="f17e2fc51c57a5ad2eabbcb22b9607c4" ns2:_="">
    <xsd:import namespace="bbea3016-a968-4b32-b1b3-cb6a5d3f07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ea3016-a968-4b32-b1b3-cb6a5d3f0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d1465ab-4155-4cd7-b73d-6f8e176f72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379D9A-390A-4454-B16A-FD595ED6D9EB}">
  <ds:schemaRefs>
    <ds:schemaRef ds:uri="http://schemas.microsoft.com/office/2006/metadata/properties"/>
    <ds:schemaRef ds:uri="http://schemas.microsoft.com/office/infopath/2007/PartnerControls"/>
    <ds:schemaRef ds:uri="bbea3016-a968-4b32-b1b3-cb6a5d3f0737"/>
  </ds:schemaRefs>
</ds:datastoreItem>
</file>

<file path=customXml/itemProps2.xml><?xml version="1.0" encoding="utf-8"?>
<ds:datastoreItem xmlns:ds="http://schemas.openxmlformats.org/officeDocument/2006/customXml" ds:itemID="{723AC5CE-DCA7-4B57-8D28-CC2E238E78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ea3016-a968-4b32-b1b3-cb6a5d3f07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8598ED-34E7-42BE-941B-6B3441FFE5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cruda noviembre</vt:lpstr>
      <vt:lpstr>Efectividad 2025</vt:lpstr>
      <vt:lpstr>esfuerzo CES</vt:lpstr>
      <vt:lpstr>CSAT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Damian Veralli</dc:creator>
  <cp:keywords/>
  <dc:description/>
  <cp:lastModifiedBy>Eduardo Damian Veralli</cp:lastModifiedBy>
  <cp:revision/>
  <dcterms:created xsi:type="dcterms:W3CDTF">2025-07-01T14:33:12Z</dcterms:created>
  <dcterms:modified xsi:type="dcterms:W3CDTF">2025-12-04T13:02:03Z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0x01010068D6EF20B000EC439DC8734A21E6E7B9</vt:lpwstr>
  </property>
  <property fmtid="{D5CDD505-2E9C-101B-9397-08002B2CF9AE}" pid="3" name="MediaServiceImageTags">
    <vt:lpwstr/>
  </property>
</Properties>
</file>