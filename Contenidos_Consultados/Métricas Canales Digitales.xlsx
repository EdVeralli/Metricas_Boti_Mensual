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Override PartName="/xl/documenttasks/documenttask2.xml" ContentType="application/vnd.ms-excel.documenttask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documenttasks/documenttask3.xml" ContentType="application/vnd.ms-excel.documenttask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GCBA\Metricas_Boti_Mensual\Contenidos_Consultados\"/>
    </mc:Choice>
  </mc:AlternateContent>
  <xr:revisionPtr revIDLastSave="0" documentId="8_{2448723D-4263-4486-824F-DB7F0761FF96}" xr6:coauthVersionLast="47" xr6:coauthVersionMax="47" xr10:uidLastSave="{00000000-0000-0000-0000-000000000000}"/>
  <bookViews>
    <workbookView xWindow="-108" yWindow="-108" windowWidth="23256" windowHeight="12456" firstSheet="3" activeTab="3" xr2:uid="{00000000-000D-0000-FFFF-FFFF00000000}"/>
  </bookViews>
  <sheets>
    <sheet name="Histórico" sheetId="7" r:id="rId1"/>
    <sheet name="2024" sheetId="1" r:id="rId2"/>
    <sheet name="2025" sheetId="2" r:id="rId3"/>
    <sheet name="2026" sheetId="3" r:id="rId4"/>
    <sheet name="Ecosistema wBA" sheetId="4" r:id="rId5"/>
    <sheet name="Servicios EXP-OBE" sheetId="10" r:id="rId6"/>
    <sheet name="Iteración indicadores JGM" sheetId="5" r:id="rId7"/>
    <sheet name="Derivaciones Boti 2019-2026" sheetId="11" r:id="rId8"/>
    <sheet name="Integraciones Boti VF" sheetId="12" r:id="rId9"/>
  </sheets>
  <definedNames>
    <definedName name="_xlnm._FilterDatabase" localSheetId="1" hidden="1">'2024'!$A$1:$T$37</definedName>
    <definedName name="_xlnm._FilterDatabase" localSheetId="2" hidden="1">'2025'!$A$1:$S$36</definedName>
    <definedName name="_xlnm._FilterDatabase" localSheetId="3" hidden="1">'2026'!$A$1:$D$41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36" i="1" l="1"/>
  <c r="V31" i="2"/>
  <c r="V11" i="2"/>
  <c r="V10" i="2"/>
  <c r="V9" i="2"/>
  <c r="V8" i="2"/>
  <c r="U7" i="2"/>
  <c r="V7" i="2"/>
  <c r="V5" i="2"/>
  <c r="U5" i="2"/>
  <c r="V36" i="2"/>
  <c r="V35" i="2"/>
  <c r="V34" i="2"/>
  <c r="V33" i="2"/>
  <c r="V32" i="2"/>
  <c r="V20" i="2"/>
  <c r="V19" i="2"/>
  <c r="V18" i="2"/>
  <c r="U20" i="2"/>
  <c r="U19" i="2"/>
  <c r="U18" i="2"/>
  <c r="V17" i="2"/>
  <c r="V16" i="2"/>
  <c r="U16" i="2"/>
  <c r="V6" i="2"/>
  <c r="U6" i="2"/>
  <c r="V3" i="2"/>
  <c r="V4" i="2"/>
  <c r="U4" i="2"/>
  <c r="V2" i="2"/>
  <c r="U2" i="2"/>
  <c r="W18" i="1"/>
  <c r="W17" i="1"/>
  <c r="W6" i="1"/>
  <c r="W2" i="1"/>
  <c r="U17" i="2"/>
  <c r="I10" i="7"/>
  <c r="H10" i="7"/>
  <c r="C109" i="7"/>
  <c r="B109" i="7"/>
  <c r="C96" i="7"/>
  <c r="B96" i="7"/>
  <c r="H40" i="2"/>
  <c r="H39" i="2"/>
  <c r="H38" i="2"/>
  <c r="W8" i="1"/>
  <c r="V6" i="1"/>
  <c r="V8" i="1"/>
  <c r="V13" i="1"/>
  <c r="V2" i="1"/>
  <c r="B90" i="2"/>
  <c r="E9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tc={C63A6095-6CAF-44AA-B928-53C283124A3F}</author>
    <author>tc={F214D632-E629-4ED9-AFC6-576BF5D9DC27}</author>
    <author/>
    <author>tc={36C91767-AF9B-489E-AD27-4071884C7D39}</author>
    <author>Macarena Blasi</author>
    <author>tc={96CE8197-2EBA-42E0-A4DE-C9C8613961BF}</author>
    <author>tc={525ECB19-8F82-4CFD-8176-9D70279E4BEE}</author>
    <author>tc={4DD75E1A-B751-4757-B6AA-9E7240621D68}</author>
    <author>tc={D6A8CA59-C4D1-4900-9D86-5D89F2E2AC2F}</author>
    <author>tc={234289C2-A96E-4742-A9E4-1357397DB012}</author>
    <author>tc={CAEA2E9E-4204-4016-B011-511D9E86EBE6}</author>
    <author>tc={4E16A693-7C01-4F67-AECE-C7CF3FDB15E7}</author>
    <author>tc={C9A69A39-C8BF-4E99-80C6-8CDD7BFDD7BC}</author>
    <author>tc={9FA76548-20B0-487F-8C49-A1B36ABDD4AB}</author>
    <author>tc={BFD7B403-2CCB-4836-82D5-C49C66E2DAB9}</author>
    <author>tc={D09CD17D-F60D-4386-8F17-FA045E4C15BC}</author>
    <author>tc={FD6AA57D-A44B-47BC-A233-D872ACD6F9AA}</author>
    <author>tc={5AAA4784-413A-4DB2-9854-050CDBF5E4CF}</author>
    <author>tc={1F272985-993B-404B-80A9-B3A28E4F4343}</author>
    <author>tc={B0FA2792-F849-4240-911B-2816F49CFAC1}</author>
    <author>tc={71835E5A-62C4-4CBE-A9A8-9B666C9BC61B}</author>
    <author>tc={EF6E95C6-9AD9-4734-B352-8BCF2FF17EF7}</author>
    <author>tc={5916B245-36E2-4BD6-AA42-B3CF6AF075F7}</author>
    <author>tc={C122CE59-8212-424B-87B0-353564F50B89}</author>
    <author>tc={572332AC-7E6F-468D-AFE9-F6ABE0228ADF}</author>
    <author>tc={789637B2-CA89-498B-A30E-7FC9B9A3BB3B}</author>
    <author>tc={33E1E4CF-1D41-4BD0-A6B4-9702F695251F}</author>
    <author>tc={EEC96FB8-DBA3-414D-81DB-AEBD27C43D77}</author>
    <author>tc={7E486BCA-90F2-4382-AAAB-EDC0ED925EB8}</author>
    <author>tc={C78E3C3B-A9BE-4CA3-98F6-B50FDB4006F0}</author>
  </authors>
  <commentList>
    <comment ref="V18" authorId="0" shapeId="0" xr:uid="{C63A6095-6CAF-44AA-B928-53C283124A3F}">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No es la suma es un nuevo cálculo sobre el periodo total</t>
        </r>
      </text>
    </comment>
    <comment ref="U19" authorId="1" shapeId="0" xr:uid="{F214D632-E629-4ED9-AFC6-576BF5D9DC27}">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pidanle porfa a Luqui que les pase este nro que lo saca del monitor de canales de BM. Debe estar en 90 y pico pues tuvimos la caída de Meta un par de horas a mediados de diciembre @Jacqueline Dominguez  @Luis Esqueda 
Reply:
    @Macarena Blasi @Candela Blanco No se usa más el monitor de BM (chequear que no te lo cobren) se usa otra métrica proveniente directamente de Meta porque Boti está en Cloud (lo dejo asentado para 2025 esta métrica se llama  Availability)</t>
        </r>
      </text>
    </comment>
    <comment ref="N20" authorId="2" shapeId="0" xr:uid="{5E545229-4151-4F4E-B38D-7B56D88680DD}">
      <text>
        <r>
          <rPr>
            <sz val="10"/>
            <color rgb="FF000000"/>
            <rFont val="Arial"/>
            <scheme val="minor"/>
          </rPr>
          <t>turno vacuna antigripal
	-Macarena Blasi</t>
        </r>
      </text>
    </comment>
    <comment ref="O20" authorId="2" shapeId="0" xr:uid="{BBBBF9B0-500B-487A-A815-4724675EBDD1}">
      <text>
        <r>
          <rPr>
            <sz val="10"/>
            <color rgb="FF000000"/>
            <rFont val="Arial"/>
            <scheme val="minor"/>
          </rPr>
          <t>GC: Recolección Residuos Fuera de Contenedor
	-Macarena Blasi</t>
        </r>
      </text>
    </comment>
    <comment ref="P20" authorId="3" shapeId="0" xr:uid="{36C91767-AF9B-489E-AD27-4071884C7D39}">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Reparación de Contenedor y Ampliación de Licencia</t>
        </r>
      </text>
    </comment>
    <comment ref="Q20" authorId="4" shapeId="0" xr:uid="{06088311-D6F7-45F1-8385-CFB0FD6D3D71}">
      <text>
        <r>
          <rPr>
            <sz val="10"/>
            <color rgb="FF000000"/>
            <rFont val="Arial"/>
            <scheme val="minor"/>
          </rPr>
          <t>Macarena Blasi:
Se suman GC: Consulta de Exp APRA y Mayor Ilumnicación en Calle o plaza</t>
        </r>
      </text>
    </comment>
    <comment ref="R20" authorId="5" shapeId="0" xr:uid="{96CE8197-2EBA-42E0-A4DE-C9C8613961BF}">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Solic. de Columna/poste/cable en mal estado, abandonado o cortado​ EN PRD
Reply:
    Reposición de Contenedor + Turno Dengue x 2 (Trabajados sin salir a PRD)</t>
        </r>
      </text>
    </comment>
    <comment ref="S20" authorId="6" shapeId="0" xr:uid="{525ECB19-8F82-4CFD-8176-9D70279E4BEE}">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Charla Virtual V2 + Renovación Licencia x Cambio de Jurisdiccion + Prestación BA Colab para persistencia datos seguimiento vacunados Dengue</t>
        </r>
      </text>
    </comment>
    <comment ref="T20" authorId="7" shapeId="0" xr:uid="{4DD75E1A-B751-4757-B6AA-9E7240621D68}">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Solicitud Consulta e Inconvenientes con TAD</t>
        </r>
      </text>
    </comment>
    <comment ref="U20" authorId="8" shapeId="0" xr:uid="{D6A8CA59-C4D1-4900-9D86-5D89F2E2AC2F}">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Trámite Duplicado Licencia Conducir +  Solicitud Consultas por plazos o demoras en el Expediente de catastro, obras, instalaciones y factibilidad.
PD: Se pasó a PRD la turnera integrada (Sigeci Común) para la toma de turno Dengue 2da Dosis</t>
        </r>
      </text>
    </comment>
    <comment ref="N21" authorId="2" shapeId="0" xr:uid="{00000000-0006-0000-0000-000007000000}">
      <text>
        <r>
          <rPr>
            <sz val="10"/>
            <color rgb="FF000000"/>
            <rFont val="Arial"/>
            <scheme val="minor"/>
          </rPr>
          <t>turno vacuna antigripal
	-Macarena Blasi</t>
        </r>
      </text>
    </comment>
    <comment ref="O21" authorId="2" shapeId="0" xr:uid="{00000000-0006-0000-0000-000002000000}">
      <text>
        <r>
          <rPr>
            <sz val="10"/>
            <color rgb="FF000000"/>
            <rFont val="Arial"/>
            <scheme val="minor"/>
          </rPr>
          <t>GC: Recolección Residuos Fuera de Contenedor
	-Macarena Blasi</t>
        </r>
      </text>
    </comment>
    <comment ref="P21" authorId="9" shapeId="0" xr:uid="{234289C2-A96E-4742-A9E4-1357397DB012}">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Reparación de Contenedor y Ampliación de Licencia</t>
        </r>
      </text>
    </comment>
    <comment ref="Q21" authorId="4" shapeId="0" xr:uid="{CF8FD678-C1BD-49B9-9375-F1114F65FC3F}">
      <text>
        <r>
          <rPr>
            <sz val="10"/>
            <color rgb="FF000000"/>
            <rFont val="Arial"/>
            <scheme val="minor"/>
          </rPr>
          <t>Macarena Blasi:
Se suman GC: Consulta de Exp APRA y Mayor Ilumnicación en Calle o plaza</t>
        </r>
      </text>
    </comment>
    <comment ref="R21" authorId="10" shapeId="0" xr:uid="{CAEA2E9E-4204-4016-B011-511D9E86EBE6}">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Solic. de Columna/poste/cable en mal estado, abandonado o cortado​ (EN PRD)
Reply:
    Reposición de Contenedor + Turno Dengue x 2 (Trabajados sin salir a PRD)</t>
        </r>
      </text>
    </comment>
    <comment ref="S21" authorId="11" shapeId="0" xr:uid="{4E16A693-7C01-4F67-AECE-C7CF3FDB15E7}">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Charla Virtual V2 + Renovación Licencia x Cambio de Jurisdiccion</t>
        </r>
      </text>
    </comment>
    <comment ref="T21" authorId="12" shapeId="0" xr:uid="{C9A69A39-C8BF-4E99-80C6-8CDD7BFDD7BC}">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Solicitud Consulta e Inconvenientes con TAD</t>
        </r>
      </text>
    </comment>
    <comment ref="U21" authorId="13" shapeId="0" xr:uid="{9FA76548-20B0-487F-8C49-A1B36ABDD4AB}">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Trámite Duplicado Licencia Conducir +  Solicitud Consultas por plazos o demoras en el Expediente de catastro, obras, instalaciones y factibilidad.</t>
        </r>
      </text>
    </comment>
    <comment ref="T22" authorId="14" shapeId="0" xr:uid="{BFD7B403-2CCB-4836-82D5-C49C66E2DAB9}">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trabajaron 52 contenidos nuevos o mejorados</t>
        </r>
      </text>
    </comment>
    <comment ref="S25" authorId="15" shapeId="0" xr:uid="{D09CD17D-F60D-4386-8F17-FA045E4C15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midió en aproximación por urgencia, se consideró Agente disponible como atendidos, claramente por la naturaleza de la CAT muchas personas abandonan antes razón por la que se hace una medición más precisa con la vuelta de la derivación para considerar los realmente atendidos
</t>
        </r>
      </text>
    </comment>
    <comment ref="T25" authorId="16" shapeId="0" xr:uid="{FD6AA57D-A44B-47BC-A233-D872ACD6F9AA}">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hizo un funnel (MMBB)CAT 144</t>
        </r>
      </text>
    </comment>
    <comment ref="U25" authorId="17" shapeId="0" xr:uid="{5AAA4784-413A-4DB2-9854-050CDBF5E4CF}">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hizo un funnel (MMBB)CAT 144</t>
        </r>
      </text>
    </comment>
    <comment ref="M26" authorId="2" shapeId="0" xr:uid="{00000000-0006-0000-0000-000005000000}">
      <text>
        <r>
          <rPr>
            <sz val="10"/>
            <color rgb="FF000000"/>
            <rFont val="Arial"/>
            <scheme val="minor"/>
          </rPr>
          <t>sumamos cat discriminación
	-Macarena Blasi</t>
        </r>
      </text>
    </comment>
    <comment ref="N26" authorId="2" shapeId="0" xr:uid="{00000000-0006-0000-0000-000004000000}">
      <text>
        <r>
          <rPr>
            <sz val="10"/>
            <color rgb="FF000000"/>
            <rFont val="Arial"/>
            <scheme val="minor"/>
          </rPr>
          <t>sumamos cat ciberseguridad
	-Macarena Blasi</t>
        </r>
      </text>
    </comment>
    <comment ref="N27" authorId="2" shapeId="0" xr:uid="{00000000-0006-0000-0000-000003000000}">
      <text>
        <r>
          <rPr>
            <sz val="10"/>
            <color rgb="FF000000"/>
            <rFont val="Arial"/>
            <scheme val="minor"/>
          </rPr>
          <t>se suman 2 activaciones para subtes
	-Macarena Blasi</t>
        </r>
      </text>
    </comment>
    <comment ref="R27" authorId="18" shapeId="0" xr:uid="{1F272985-993B-404B-80A9-B3A28E4F4343}">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Trivia FIT</t>
        </r>
      </text>
    </comment>
    <comment ref="S27" authorId="19" shapeId="0" xr:uid="{B0FA2792-F849-4240-911B-2816F49CFAC1}">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Tecweek</t>
        </r>
      </text>
    </comment>
    <comment ref="U29" authorId="20" shapeId="0" xr:uid="{71835E5A-62C4-4CBE-A9A8-9B666C9BC6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nuevo @Jacqueline Dominguez @Luis Esqueda </t>
        </r>
      </text>
    </comment>
    <comment ref="U30" authorId="21" shapeId="0" xr:uid="{EF6E95C6-9AD9-4734-B352-8BCF2FF17E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nuevo @Jacqueline Dominguez  @Luis Esqueda 
Reply:
    @Macarena Blasi @Candela Blanco dejo la definición correcta de los indicadores ustedes digan cual es el número que les hace más sentido mostrar </t>
        </r>
      </text>
    </comment>
    <comment ref="T32" authorId="22" shapeId="0" xr:uid="{5916B245-36E2-4BD6-AA42-B3CF6AF075F7}">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Hasta 19/11 inclusive</t>
        </r>
      </text>
    </comment>
    <comment ref="T34" authorId="23" shapeId="0" xr:uid="{C122CE59-8212-424B-87B0-353564F50B89}">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Nueva medición productiva desde 20/11</t>
        </r>
      </text>
    </comment>
    <comment ref="U34" authorId="24" shapeId="0" xr:uid="{572332AC-7E6F-468D-AFE9-F6ABE0228A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nuevo @Jacqueline Dominguez  @Luis Esqueda </t>
        </r>
      </text>
    </comment>
    <comment ref="T35" authorId="25" shapeId="0" xr:uid="{789637B2-CA89-498B-A30E-7FC9B9A3BB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Nueva medición productiva 20/11 (solo si responde sí en efectividad) 
</t>
        </r>
      </text>
    </comment>
    <comment ref="U35" authorId="26" shapeId="0" xr:uid="{33E1E4CF-1D41-4BD0-A6B4-9702F69525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nuevo @Jacqueline Dominguez  @Luis Esqueda </t>
        </r>
      </text>
    </comment>
    <comment ref="T36" authorId="27" shapeId="0" xr:uid="{EEC96FB8-DBA3-414D-81DB-AEBD27C43D77}">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Nueva medición productiva desde 20/11</t>
        </r>
      </text>
    </comment>
    <comment ref="U36" authorId="28" shapeId="0" xr:uid="{7E486BCA-90F2-4382-AAAB-EDC0ED925EB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nuevo @Jacqueline Dominguez @Luis Esqueda </t>
        </r>
      </text>
    </comment>
    <comment ref="U37" authorId="29" shapeId="0" xr:uid="{C78E3C3B-A9BE-4CA3-98F6-B50FDB4006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nuevo @Jacqueline Dominguez  @Luis Esqueda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tc={66A56E33-68B9-4E5C-8A8D-C789096D3A2D}</author>
    <author>tc={61E4C9F9-55DB-4EC9-9548-BAA6CD480103}</author>
    <author>tc={B2335A61-F1B2-42E6-B8DF-2CA39AA9FFD6}</author>
    <author>tc={C3CDF6CF-0A25-4099-87AB-0610E9147419}</author>
    <author>tc={B6617FFB-1AD1-4039-8BC1-75D81481ADE9}</author>
    <author>tc={E88CD606-D841-4AEB-9153-0814B6136037}</author>
    <author>tc={054863E7-3683-4A2A-8537-CC7EB2604988}</author>
    <author>tc={4CC3F694-E877-46F3-A6C8-EA4E6162ECF4}</author>
    <author>tc={1E8CF7AD-1249-4E3E-ADF7-CF8E1F7F0711}</author>
    <author>tc={FF74A302-F18E-4E41-8FE6-C69629128460}</author>
    <author>tc={2404AF57-1611-4092-A8FB-A86EFC0B6564}</author>
    <author>tc={2D1C1E70-74A9-4850-A82D-C080368D317E}</author>
    <author>tc={CD2A91FB-D541-49A3-B583-6785EC8BF4CA}</author>
    <author>tc={C917582B-1EE7-4E44-BDC9-292AB28992FC}</author>
    <author>tc={A20020F1-F1B0-41B6-967D-BE99A1E4C4B2}</author>
    <author>tc={C9254779-A48A-42C3-B6F8-FBBC0EE50FEF}</author>
    <author>tc={24FD1DD7-98B8-4230-9955-C08D86DDBA4B}</author>
    <author>tc={8E866FA0-B9CC-4371-A58E-240F052FDD9B}</author>
    <author>tc={6FE1B45F-E23A-4AEF-A661-E890D97BBFE0}</author>
    <author>tc={D93D9FF8-2E73-414E-B024-11A67355216D}</author>
    <author>tc={0B4400AB-E15D-4C22-9E18-FAD67295ADA0}</author>
    <author>tc={54C9A802-DBFB-406A-A91F-2CB1825AC268}</author>
    <author>tc={8466E9B5-ED16-43EC-9740-D4A7B8FD165E}</author>
    <author>tc={27C1BDF0-5CC3-4460-8C28-63E5BA0C105D}</author>
    <author>tc={B84BD817-E7B4-4391-B448-288E48E112CF}</author>
    <author>tc={C7D4D0BF-D6B1-4E9D-972A-120F16785D1E}</author>
    <author>tc={B837AC0F-72F7-4E7C-A60F-D9EDDBC33B0F}</author>
    <author>tc={43725739-08C3-4EB7-8147-9CC5B644933F}</author>
    <author>tc={C04A724C-9E1D-4714-B077-7AF27500F3A9}</author>
    <author>tc={20F9D3B5-73C8-476C-A429-CA7755FC07CE}</author>
    <author>tc={6B9C0252-E9C3-4B5F-A803-C4BE3E3DA4EE}</author>
    <author>tc={BED3E1A0-1141-4411-AF09-D5FE09AD7008}</author>
    <author>tc={774F30F1-1FAB-4351-9158-CF2FDA0DC20B}</author>
    <author>tc={571F0388-21DA-450F-87CD-799CFFB82324}</author>
    <author>tc={B6905082-ADE1-4271-985C-33DFC744289F}</author>
    <author>tc={1256E0FE-A817-4D00-B601-28FB45DA5940}</author>
  </authors>
  <commentList>
    <comment ref="L8" authorId="0" shapeId="0" xr:uid="{66A56E33-68B9-4E5C-8A8D-C789096D3A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Previamente tenía el valor 5,452 </t>
        </r>
      </text>
    </comment>
    <comment ref="L9" authorId="1" shapeId="0" xr:uid="{61E4C9F9-55DB-4EC9-9548-BAA6CD480103}">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Previamente tenía el valor 38:08:30 (correspondía a la web de trámites)</t>
        </r>
      </text>
    </comment>
    <comment ref="K16" authorId="2" shapeId="0" xr:uid="{B2335A61-F1B2-42E6-B8DF-2CA39AA9FFD6}">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Número afectado por pushes de limpieza de cats.
Cantidad del Lote: 691.964
Reply:
    Cantidad de sesiones en bruto: 3.108.105</t>
        </r>
      </text>
    </comment>
    <comment ref="K17" authorId="3" shapeId="0" xr:uid="{C3CDF6CF-0A25-4099-87AB-0610E9147419}">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dejó como métrica de usuarios corregida tomando en cuenta que históricamente los usuarios tienen 2 sesiones en promedio.
Reply:
    Cantidad de usuarios bruto: 1.695.398</t>
        </r>
      </text>
    </comment>
    <comment ref="O20" authorId="4" shapeId="0" xr:uid="{B6617FFB-1AD1-4039-8BC1-75D81481ADE9}">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Queda a la espera de recuperar los datos de la tabla de eventos. (Este indicador se consulta mediante el evento 'notification-status-sent')</t>
        </r>
      </text>
    </comment>
    <comment ref="G21" authorId="5" shapeId="0" xr:uid="{E88CD606-D841-4AEB-9153-0814B61360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 sería mejor una tasa de contenidos trabajados / contenidos productivos @Macarena Blasi </t>
        </r>
      </text>
    </comment>
    <comment ref="G22" authorId="6" shapeId="0" xr:uid="{054863E7-3683-4A2A-8537-CC7EB2604988}">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nuevo @Jacqueline Dominguez @Luis Esqueda 
Reply:
    @Luis Esqueda indicar fuente</t>
        </r>
      </text>
    </comment>
    <comment ref="G23" authorId="7" shapeId="0" xr:uid="{4CC3F694-E877-46F3-A6C8-EA4E6162EC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nuevo @Jacqueline Dominguez @Luis Esqueda </t>
        </r>
      </text>
    </comment>
    <comment ref="G24" authorId="8" shapeId="0" xr:uid="{1E8CF7AD-1249-4E3E-ADF7-CF8E1F7F0711}">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Trámite Duplicado Licencia Conducir +  Solicitud Consultas por plazos o demoras en el Expediente de catastro, obras, instalaciones y factibilidad.
PD: Se pasó a PRD la turnera integrada (Sigeci Común) para la toma de turno Dengue 2da Dosis</t>
        </r>
      </text>
    </comment>
    <comment ref="H24" authorId="9" shapeId="0" xr:uid="{FF74A302-F18E-4E41-8FE6-C69629128460}">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+Soli Vaciado Contenedor</t>
        </r>
      </text>
    </comment>
    <comment ref="J24" authorId="10" shapeId="0" xr:uid="{2404AF57-1611-4092-A8FB-A86EFC0B6564}">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Trámites = 17 (se bajó Reimpresión)
Turnos = 15 (se sumó Pasaporte x2)
Solis = 35 (se sumpo Rep Semáforo)
Otras Integraciones (consultas) = 22</t>
        </r>
      </text>
    </comment>
    <comment ref="K24" authorId="11" shapeId="0" xr:uid="{2D1C1E70-74A9-4850-A82D-C080368D317E}">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sumó soli inconvenientes con std + turno cambio de domicilio en dni</t>
        </r>
      </text>
    </comment>
    <comment ref="L24" authorId="12" shapeId="0" xr:uid="{CD2A91FB-D541-49A3-B583-6785EC8BF4CA}">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sumó turno pista auto particular</t>
        </r>
      </text>
    </comment>
    <comment ref="M24" authorId="13" shapeId="0" xr:uid="{C917582B-1EE7-4E44-BDC9-292AB28992FC}">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sumaron Turnos Abiertos + Trámite de Reevaluación Licencias</t>
        </r>
      </text>
    </comment>
    <comment ref="P24" authorId="14" shapeId="0" xr:uid="{A20020F1-F1B0-41B6-967D-BE99A1E4C4B2}">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sumó Turnera Audiencia Online Videollamada Infracciones</t>
        </r>
      </text>
    </comment>
    <comment ref="R24" authorId="15" shapeId="0" xr:uid="{C9254779-A48A-42C3-B6F8-FBBC0EE50FEF}">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sumó Turno para Reevaluación de Licencia</t>
        </r>
      </text>
    </comment>
    <comment ref="S24" authorId="16" shapeId="0" xr:uid="{24FD1DD7-98B8-4230-9955-C08D86DDBA4B}">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apagaron x6 trámites de partidas</t>
        </r>
      </text>
    </comment>
    <comment ref="G25" authorId="17" shapeId="0" xr:uid="{8E866FA0-B9CC-4371-A58E-240F052FDD9B}">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Trámite Duplicado Licencia Conducir +  Solicitud Consultas por plazos o demoras en el Expediente de catastro, obras, instalaciones y factibilidad.</t>
        </r>
      </text>
    </comment>
    <comment ref="H25" authorId="18" shapeId="0" xr:uid="{6FE1B45F-E23A-4AEF-A661-E890D97BBFE0}">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+Soli Vaciado Contenedor</t>
        </r>
      </text>
    </comment>
    <comment ref="I25" authorId="19" shapeId="0" xr:uid="{D93D9FF8-2E73-414E-B024-11A67355216D}">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sumó Lavado de contenedor</t>
        </r>
      </text>
    </comment>
    <comment ref="J25" authorId="20" shapeId="0" xr:uid="{0B4400AB-E15D-4C22-9E18-FAD67295ADA0}">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sumó Soli Semáforo. Se sumaron x2 turnos pasamorte. Se bajó Trámite Reimpresión</t>
        </r>
      </text>
    </comment>
    <comment ref="K25" authorId="21" shapeId="0" xr:uid="{54C9A802-DBFB-406A-A91F-2CB1825AC268}">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sumó soli inconvenientes con std + turno cambio de domicilio en dni</t>
        </r>
      </text>
    </comment>
    <comment ref="L25" authorId="22" shapeId="0" xr:uid="{8466E9B5-ED16-43EC-9740-D4A7B8FD165E}">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sumó turno pista auto particular</t>
        </r>
      </text>
    </comment>
    <comment ref="M25" authorId="23" shapeId="0" xr:uid="{27C1BDF0-5CC3-4460-8C28-63E5BA0C105D}">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sumaron Turnos Abiertos + Trámite de Reevaluación Licencias</t>
        </r>
      </text>
    </comment>
    <comment ref="P25" authorId="24" shapeId="0" xr:uid="{B84BD817-E7B4-4391-B448-288E48E112CF}">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sumó Turnera Audiencia Online Videollamada Infracciones</t>
        </r>
      </text>
    </comment>
    <comment ref="R25" authorId="25" shapeId="0" xr:uid="{C7D4D0BF-D6B1-4E9D-972A-120F16785D1E}">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sumó Turno para Reevaluación de Licencia</t>
        </r>
      </text>
    </comment>
    <comment ref="S25" authorId="26" shapeId="0" xr:uid="{B837AC0F-72F7-4E7C-A60F-D9EDDBC33B0F}">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apagaron x6 trámites de partidas</t>
        </r>
      </text>
    </comment>
    <comment ref="N26" authorId="27" shapeId="0" xr:uid="{43725739-08C3-4EB7-8147-9CC5B644933F}">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Contenidos más Consultados - Parcial Julio al 21
1- Confirmación Turnos Salud : (283.973)
2-Turnos Salud : (91.331)
3- Mis profesionales : (82.420)
4- Infracciones : (79.454)
5- Hospitales : (59.106)
6- Turnos SAP : (57.690)
7- Licencias : (54.705)
8- Trámites Vehículos SAP : (50.356)
9- Trámites SAP: (34.558)
10- Busca donde está permitido estacionar: (34.254)</t>
        </r>
      </text>
    </comment>
    <comment ref="I29" authorId="28" shapeId="0" xr:uid="{C04A724C-9E1D-4714-B077-7AF27500F3A9}">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sumó CAT gestor de encuentros push (demanda insatisfecha)</t>
        </r>
      </text>
    </comment>
    <comment ref="L29" authorId="29" shapeId="0" xr:uid="{20F9D3B5-73C8-476C-A429-CA7755FC07CE}">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sumó Telemedicina</t>
        </r>
      </text>
    </comment>
    <comment ref="P29" authorId="30" shapeId="0" xr:uid="{6B9C0252-E9C3-4B5F-A803-C4BE3E3DA4EE}">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apagaron CATs Telemedicina + Gestor de Encuentros</t>
        </r>
      </text>
    </comment>
    <comment ref="R29" authorId="31" shapeId="0" xr:uid="{BED3E1A0-1141-4411-AF09-D5FE09AD7008}">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pagaron CATs Infracciones (Aux + Controladores)</t>
        </r>
      </text>
    </comment>
    <comment ref="O31" authorId="32" shapeId="0" xr:uid="{774F30F1-1FAB-4351-9158-CF2FDA0DC20B}">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Por falta de persistencia de datos en las tablas nueva IA para agosto no tendremos NE</t>
        </r>
      </text>
    </comment>
    <comment ref="L33" authorId="33" shapeId="0" xr:uid="{571F0388-21DA-450F-87CD-799CFFB82324}">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Se cargó 3,97 previamente por error en la planilla de cálculo.</t>
        </r>
      </text>
    </comment>
    <comment ref="G35" authorId="34" shapeId="0" xr:uid="{B6905082-ADE1-4271-985C-33DFC744289F}">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Caído 96 minutos el 11/12</t>
        </r>
      </text>
    </comment>
    <comment ref="G36" authorId="35" shapeId="0" xr:uid="{1256E0FE-A817-4D00-B601-28FB45DA59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nuevo @Jacqueline Dominguez  @Luis Esqueda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tc={B9839438-E308-4C41-BE14-8327C03D0FF4}</author>
    <author>tc={36D94351-5DD2-4A8A-B0F3-2522F9EDD35A}</author>
    <author>tc={989873F5-C15C-4E14-A223-BC3CB388F7EB}</author>
    <author>tc={CD36F484-3754-42A1-BF14-E809ED231ECD}</author>
    <author>tc={3E5B561D-7306-4A6B-A85E-1CE856B7A6B9}</author>
    <author>tc={D7AC36AF-697C-41F1-8BCF-22C52B32CCCA}</author>
    <author>tc={262FF7DF-0B73-4B0F-BAD7-E61C574E7EBB}</author>
    <author>tc={0C07DA4E-A73B-4D5E-AEDF-1E9B095CC883}</author>
    <author>tc={DEC0891F-28B8-4604-9315-CE7F99BC9008}</author>
    <author>tc={AF52A4A9-1259-4F59-B318-BC5167EE5AF8}</author>
    <author>tc={34550242-1F45-4CF9-9EF7-CE4BA37A2A75}</author>
    <author>tc={80F3AFA4-A669-4A69-B741-8E77F286E2CE}</author>
    <author>tc={13A6FF78-9B03-477E-90DB-D7F407B2848B}</author>
  </authors>
  <commentList>
    <comment ref="F17" authorId="0" shapeId="0" xr:uid="{B9839438-E308-4C41-BE14-8327C03D0FF4}">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La url tuvo un cambio, pasa de [/ba-productiva] a [/inicio/ba-productiva]:
Valor en prod: 1.789</t>
        </r>
      </text>
    </comment>
    <comment ref="G17" authorId="1" shapeId="0" xr:uid="{36D94351-5DD2-4A8A-B0F3-2522F9EDD35A}">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La url tuvo un cambio, pasa de [/ba-productiva] a [/inicio/ba-productiva]:
Valor en prod: 1.588</t>
        </r>
      </text>
    </comment>
    <comment ref="F18" authorId="2" shapeId="0" xr:uid="{989873F5-C15C-4E14-A223-BC3CB388F7EB}">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La url tuvo un cambio, pasa de [/ba-productiva] a [/inicio/ba-productiva]:
Valor en prod: 1.056</t>
        </r>
      </text>
    </comment>
    <comment ref="G18" authorId="3" shapeId="0" xr:uid="{CD36F484-3754-42A1-BF14-E809ED231ECD}">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La url tuvo un cambio, pasa de [/ba-productiva] a [/inicio/ba-productiva]:
Valor en prod: 933</t>
        </r>
      </text>
    </comment>
    <comment ref="F19" authorId="4" shapeId="0" xr:uid="{3E5B561D-7306-4A6B-A85E-1CE856B7A6B9}">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La url tuvo un cambio, pasa de [/ba-productiva] a [/inicio/ba-productiva]:
Valor en prod: 869</t>
        </r>
      </text>
    </comment>
    <comment ref="G19" authorId="5" shapeId="0" xr:uid="{D7AC36AF-697C-41F1-8BCF-22C52B32CCCA}">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La url tuvo un cambio, pasa de [/ba-productiva] a [/inicio/ba-productiva]:
Valor en prod: 768</t>
        </r>
      </text>
    </comment>
    <comment ref="G28" authorId="6" shapeId="0" xr:uid="{262FF7DF-0B73-4B0F-BAD7-E61C574E7EBB}">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IEL - Link expirable para inscripción escolar fuera de término</t>
        </r>
      </text>
    </comment>
    <comment ref="G32" authorId="7" shapeId="0" xr:uid="{0C07DA4E-A73B-4D5E-AEDF-1E9B095CC883}">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IEL - Link expirable para inscripción escolar fuera de término</t>
        </r>
      </text>
    </comment>
    <comment ref="F35" authorId="8" shapeId="0" xr:uid="{DEC0891F-28B8-4604-9315-CE7F99BC9008}">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CDETAC</t>
        </r>
      </text>
    </comment>
    <comment ref="G35" authorId="9" shapeId="0" xr:uid="{AF52A4A9-1259-4F59-B318-BC5167EE5AF8}">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CAT Docentes</t>
        </r>
      </text>
    </comment>
    <comment ref="E36" authorId="10" shapeId="0" xr:uid="{34550242-1F45-4CF9-9EF7-CE4BA37A2A75}">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6.60%</t>
        </r>
      </text>
    </comment>
    <comment ref="F36" authorId="11" shapeId="0" xr:uid="{80F3AFA4-A669-4A69-B741-8E77F286E2CE}">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7,30%</t>
        </r>
      </text>
    </comment>
    <comment ref="G36" authorId="12" shapeId="0" xr:uid="{13A6FF78-9B03-477E-90DB-D7F407B2848B}">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7,40%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tc={70EB6D73-C282-42A1-8054-5E646754C1DF}</author>
    <author>tc={C0B467CF-CE6E-47D5-8FF3-ADD69AAA2195}</author>
  </authors>
  <commentList>
    <comment ref="C2" authorId="0" shapeId="0" xr:uid="{70EB6D73-C282-42A1-8054-5E646754C1DF}">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IGE y CNNyA</t>
        </r>
      </text>
    </comment>
    <comment ref="C3" authorId="1" shapeId="0" xr:uid="{C0B467CF-CE6E-47D5-8FF3-ADD69AAA2195}">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Firma Digital + Portal de Accesibilidad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tc={D33F64B9-7982-45B9-A354-0D27A8377CEF}</author>
    <author>tc={A2C56C86-B3DD-44A5-897E-BAB1CC62353C}</author>
  </authors>
  <commentList>
    <comment ref="J1" authorId="0" shapeId="0" xr:uid="{D33F64B9-7982-45B9-A354-0D27A8377CEF}">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la capacitación fue sobre  Estado de Obelisco v2 y su implementación y adaptado a Diseñadores / devs /qa / research (cómo trabajan obelisco)</t>
        </r>
      </text>
    </comment>
    <comment ref="B2" authorId="1" shapeId="0" xr:uid="{A2C56C86-B3DD-44A5-897E-BAB1CC62353C}">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@Macarena Blasi necesito este despliegue de que áreas recibieron su servicio y si lo implementaron</t>
        </r>
      </text>
    </comment>
  </commentList>
</comments>
</file>

<file path=xl/sharedStrings.xml><?xml version="1.0" encoding="utf-8"?>
<sst xmlns="http://schemas.openxmlformats.org/spreadsheetml/2006/main" count="1560" uniqueCount="734">
  <si>
    <t>Fecha</t>
  </si>
  <si>
    <t>Conversaciones</t>
  </si>
  <si>
    <t>Usuarios</t>
  </si>
  <si>
    <t>Total 2018</t>
  </si>
  <si>
    <t>-</t>
  </si>
  <si>
    <t>Total</t>
  </si>
  <si>
    <t>Total 2019</t>
  </si>
  <si>
    <t>Total 2020</t>
  </si>
  <si>
    <t>1,115,139</t>
  </si>
  <si>
    <t>1,297,647</t>
  </si>
  <si>
    <t>1,754,575</t>
  </si>
  <si>
    <t>3,296,365</t>
  </si>
  <si>
    <t>1,325,294</t>
  </si>
  <si>
    <t>2,576,505</t>
  </si>
  <si>
    <t>1,216,979</t>
  </si>
  <si>
    <t>4,539,474</t>
  </si>
  <si>
    <t>1,487,774</t>
  </si>
  <si>
    <t>5,323,719</t>
  </si>
  <si>
    <t>1,778,905</t>
  </si>
  <si>
    <t>5,055,510</t>
  </si>
  <si>
    <t>1,955,187</t>
  </si>
  <si>
    <t>4,603,325</t>
  </si>
  <si>
    <t>1,729,863</t>
  </si>
  <si>
    <t>4,657,373</t>
  </si>
  <si>
    <t>1,706,728</t>
  </si>
  <si>
    <t>4,778,429</t>
  </si>
  <si>
    <t>1,959,543</t>
  </si>
  <si>
    <t>6,342,271</t>
  </si>
  <si>
    <t>2,533,734</t>
  </si>
  <si>
    <t>Total 2021</t>
  </si>
  <si>
    <t>10,589,230</t>
  </si>
  <si>
    <t>4,756,002</t>
  </si>
  <si>
    <t>9,202,606</t>
  </si>
  <si>
    <t>2,543,209</t>
  </si>
  <si>
    <t>5,881,086</t>
  </si>
  <si>
    <t>2,126,555</t>
  </si>
  <si>
    <t>3,195,295</t>
  </si>
  <si>
    <t>1,837,445</t>
  </si>
  <si>
    <t>4,481,236</t>
  </si>
  <si>
    <t>2,275,790</t>
  </si>
  <si>
    <t>5,076,222</t>
  </si>
  <si>
    <t>2,439,853</t>
  </si>
  <si>
    <t>4,807,597</t>
  </si>
  <si>
    <t>2,156,362</t>
  </si>
  <si>
    <t>4,373,207</t>
  </si>
  <si>
    <t>2,187,493</t>
  </si>
  <si>
    <t>4,308,777</t>
  </si>
  <si>
    <t>2,192,279</t>
  </si>
  <si>
    <t>2,302,961</t>
  </si>
  <si>
    <t>2,069,287</t>
  </si>
  <si>
    <t>1,989,301</t>
  </si>
  <si>
    <t>1,620,513</t>
  </si>
  <si>
    <t>2,282,486</t>
  </si>
  <si>
    <t>1,844,680</t>
  </si>
  <si>
    <t>Total 2022</t>
  </si>
  <si>
    <t>1,788,765</t>
  </si>
  <si>
    <t>1,043,806</t>
  </si>
  <si>
    <t>1,454,735</t>
  </si>
  <si>
    <t>1,034,018</t>
  </si>
  <si>
    <t>1,359,090</t>
  </si>
  <si>
    <t>3,014,160</t>
  </si>
  <si>
    <t>1,955,199</t>
  </si>
  <si>
    <t>1,310,072</t>
  </si>
  <si>
    <t>3,037,114</t>
  </si>
  <si>
    <t>2,071,736</t>
  </si>
  <si>
    <t>1,800,451</t>
  </si>
  <si>
    <t>1,653,455</t>
  </si>
  <si>
    <t>1,777,993</t>
  </si>
  <si>
    <t>1,447,953</t>
  </si>
  <si>
    <t>Total 2023</t>
  </si>
  <si>
    <t>1,803,048</t>
  </si>
  <si>
    <t>1,782,949</t>
  </si>
  <si>
    <t>1,780,882</t>
  </si>
  <si>
    <t>1,995,837</t>
  </si>
  <si>
    <t>1,900,428</t>
  </si>
  <si>
    <t>1,755,650</t>
  </si>
  <si>
    <t>2,052,418</t>
  </si>
  <si>
    <t>2,158,346</t>
  </si>
  <si>
    <t>2,437,870</t>
  </si>
  <si>
    <t>1,088,881</t>
  </si>
  <si>
    <t>2,484,632</t>
  </si>
  <si>
    <t>1,094,525</t>
  </si>
  <si>
    <t>2,117,951</t>
  </si>
  <si>
    <t>1,958,382</t>
  </si>
  <si>
    <t>Total 2024</t>
  </si>
  <si>
    <t>Total 2025</t>
  </si>
  <si>
    <t>Total 2026</t>
  </si>
  <si>
    <t>Proyecto</t>
  </si>
  <si>
    <t>Área</t>
  </si>
  <si>
    <t>Responsable</t>
  </si>
  <si>
    <t>Indicador</t>
  </si>
  <si>
    <t>Descripción/Detalle</t>
  </si>
  <si>
    <t>Fórmula/Fuente</t>
  </si>
  <si>
    <t xml:space="preserve">Frecuencia actualización </t>
  </si>
  <si>
    <t>Valor a 12/23</t>
  </si>
  <si>
    <t>1/24</t>
  </si>
  <si>
    <t>2/24</t>
  </si>
  <si>
    <t>3/24</t>
  </si>
  <si>
    <t>4/24</t>
  </si>
  <si>
    <t>5/24</t>
  </si>
  <si>
    <t>6/24</t>
  </si>
  <si>
    <t>7/24</t>
  </si>
  <si>
    <t>Acumulado Anual</t>
  </si>
  <si>
    <t>Promedio Anual</t>
  </si>
  <si>
    <t>web.gob.ar</t>
  </si>
  <si>
    <t>DGCDI</t>
  </si>
  <si>
    <t>Julieta Rappan</t>
  </si>
  <si>
    <t>Visitas</t>
  </si>
  <si>
    <t xml:space="preserve">Q mensual de visitas </t>
  </si>
  <si>
    <t>Mensual</t>
  </si>
  <si>
    <t>Utilidad de la información</t>
  </si>
  <si>
    <t>% Utilidad de la información total</t>
  </si>
  <si>
    <t>82.86%</t>
  </si>
  <si>
    <t>81.24%</t>
  </si>
  <si>
    <t>84.71%</t>
  </si>
  <si>
    <t>Usuarios únicos</t>
  </si>
  <si>
    <t>Son todos los usuarios únicos que interactuan de manera significativa o no</t>
  </si>
  <si>
    <t>google analytics</t>
  </si>
  <si>
    <t>3,9M</t>
  </si>
  <si>
    <t>3,5M</t>
  </si>
  <si>
    <t>4,1M</t>
  </si>
  <si>
    <t>4,8M</t>
  </si>
  <si>
    <t>5,2M</t>
  </si>
  <si>
    <t>5,0M</t>
  </si>
  <si>
    <t>4,6M</t>
  </si>
  <si>
    <t>4,7M</t>
  </si>
  <si>
    <t>4,9M</t>
  </si>
  <si>
    <t>5,4M</t>
  </si>
  <si>
    <t>37M</t>
  </si>
  <si>
    <t xml:space="preserve">Usuarios que inician sesión </t>
  </si>
  <si>
    <t>Son solo los usuarios que interactuan de manera significativa</t>
  </si>
  <si>
    <t>3,7M</t>
  </si>
  <si>
    <t>3,4M</t>
  </si>
  <si>
    <t>5M</t>
  </si>
  <si>
    <t>4,4M</t>
  </si>
  <si>
    <t>4,5M</t>
  </si>
  <si>
    <t>53,7M</t>
  </si>
  <si>
    <t>Sesiones</t>
  </si>
  <si>
    <t>Q de periodos durante el cual un usuario interactúa con su sitio web</t>
  </si>
  <si>
    <t>Tiempo de permanencia</t>
  </si>
  <si>
    <t>Es el tiempo en HH:mm:ss que dura cada sesión</t>
  </si>
  <si>
    <t>Uptime/Downtime</t>
  </si>
  <si>
    <t>Es el % de tiempo que estuvo caída la web o la ash de ba.gob.ar en el mes.</t>
  </si>
  <si>
    <t>PRTG</t>
  </si>
  <si>
    <t>0.02%</t>
  </si>
  <si>
    <t>0.074%</t>
  </si>
  <si>
    <t>Es la cantidad de horas, minutos y segundos que estuvo caída la web en el mes.</t>
  </si>
  <si>
    <t>Q HH:mm:ss</t>
  </si>
  <si>
    <t>Indicador de satisfacción (Angular)</t>
  </si>
  <si>
    <t>Es el % de clics en "Me fue útil" sobre el total de clics de útil o no útil de la Home</t>
  </si>
  <si>
    <t>Base de datos</t>
  </si>
  <si>
    <t>40.36%</t>
  </si>
  <si>
    <t>46.47%</t>
  </si>
  <si>
    <t>48.35%</t>
  </si>
  <si>
    <t>48.11%</t>
  </si>
  <si>
    <t>45.20%</t>
  </si>
  <si>
    <t>48.21%</t>
  </si>
  <si>
    <t>49.38%</t>
  </si>
  <si>
    <t>41.71%</t>
  </si>
  <si>
    <t>44.41%</t>
  </si>
  <si>
    <t>Indicador de satisfacción (Drupal)</t>
  </si>
  <si>
    <t>Es el % de clics en "Me fue útil" sobre el total de clics de útil o no útildel resto de la web</t>
  </si>
  <si>
    <t>89.52%</t>
  </si>
  <si>
    <t>90.56%</t>
  </si>
  <si>
    <t>89.89%</t>
  </si>
  <si>
    <t>84.38%</t>
  </si>
  <si>
    <t>82.55%</t>
  </si>
  <si>
    <t>87.63%</t>
  </si>
  <si>
    <t>Buscador</t>
  </si>
  <si>
    <t>Cantidad de consultas al buscador de la web</t>
  </si>
  <si>
    <t>285mil</t>
  </si>
  <si>
    <t>323mil</t>
  </si>
  <si>
    <t>355mil</t>
  </si>
  <si>
    <t>350mil</t>
  </si>
  <si>
    <t>368,1mil</t>
  </si>
  <si>
    <t>330mil</t>
  </si>
  <si>
    <t>278,3mil</t>
  </si>
  <si>
    <t>304,7mil</t>
  </si>
  <si>
    <t>344,4mil</t>
  </si>
  <si>
    <t>410,4mil</t>
  </si>
  <si>
    <t>380,5mil</t>
  </si>
  <si>
    <t>335,8mil</t>
  </si>
  <si>
    <t>276,3mil</t>
  </si>
  <si>
    <t>Páginas nuevas o rediseñadas</t>
  </si>
  <si>
    <t>Q de páginas nuevas o rediseñadas</t>
  </si>
  <si>
    <t>Q Páginas nuevas o rediseñadas</t>
  </si>
  <si>
    <t>Sitios más visitados</t>
  </si>
  <si>
    <t>Q de URLs mas visitados en un periodo determinado.</t>
  </si>
  <si>
    <t>Q Visitas de todos los usuarios en todas sus sesiones en un periodo determinado.</t>
  </si>
  <si>
    <t>Ministerios rediseñados (nivel 1)</t>
  </si>
  <si>
    <t>Q Ministerios rediseñados (nivel 1)</t>
  </si>
  <si>
    <t>Rediseños de niveles 2 y 3</t>
  </si>
  <si>
    <t>Q rediseños de niveles 2 y 3</t>
  </si>
  <si>
    <t>Boti</t>
  </si>
  <si>
    <t>Q Conversaciones</t>
  </si>
  <si>
    <t>Q Sesiones únicas disparadas en el mes</t>
  </si>
  <si>
    <t>Q Usuarios únicos</t>
  </si>
  <si>
    <t>Q Usuarios únicos que interactuaron con Boti (incluye todas las plataformas Web, WA, etc)</t>
  </si>
  <si>
    <t>% de tiempo en que la plataforma estuvo arriba/caida</t>
  </si>
  <si>
    <t>Plataforma BM</t>
  </si>
  <si>
    <t>99.78%</t>
  </si>
  <si>
    <t>Integraciones</t>
  </si>
  <si>
    <t>Q Integraciones</t>
  </si>
  <si>
    <t>Q Integraciones disponibles a la actualidad</t>
  </si>
  <si>
    <t>Acumulado</t>
  </si>
  <si>
    <t>Trámites, solicitudes y turnos disponibles</t>
  </si>
  <si>
    <t>Q Trámites, solicitudes y turnos disponibles</t>
  </si>
  <si>
    <t>Q Trámites, solicitudes y turnos disponibles a la actualidad</t>
  </si>
  <si>
    <t>Contenidos trabajados</t>
  </si>
  <si>
    <t>Q Contenidos estáticos</t>
  </si>
  <si>
    <t>Q Contenidos trabajados/implementados (nuevos/mantenimiento, acumulado a partir de base 2023)</t>
  </si>
  <si>
    <t>Contenidos más consultados</t>
  </si>
  <si>
    <t>Q Contenidos con más interacciones en un periodo determinado</t>
  </si>
  <si>
    <t>Q Interacciones de todos los usuarios en todas sus conversaciones y sesiones en un periodo determinado.</t>
  </si>
  <si>
    <t>1- Confirmación Turnos Salud 290.605
2- Infracciones 162.805
3- Turnos SAP 135.244
4- Licencias 109.480
5- Turnos Salud 96.873
6- Hospitales 68.244
7- CAT Infracciones 67.663
8- Vacunación/Dengue 61.896
9- Centros de Vacunación general 53.253
10- SAP Salud 50.988</t>
  </si>
  <si>
    <t xml:space="preserve">
1- Confirmación de turno Salud: (380.032)
2- Infracciones: (169.056)
3- Turnos SAP: (134.094)
4- Licencias: (130.803)
5- Hospitales: (99.640)
6- CAT Infracciones: (76.289)
7- Trámites SAP: (50.767)
8- Permitido estacionar: (49.873)
9- Dengue: (45.032)
10- Salud SAP: (43.815)</t>
  </si>
  <si>
    <t xml:space="preserve">
1- Confirmación de turno Salud: (289.312)
2- Infracciones: (159.442)
3- Licencias: (128.688)
4- Turnos SAP: (116.865)
5- Consulta de Licencias: (111.778)
6- Turnos Salud: (99.798)
7- Mis profesionales: (85.421)
8- Renovación de Licencias: (63.705)                                                         9- Hospitales: (62.270)
10- Trámites SAP: (50.681)</t>
  </si>
  <si>
    <t>1- Confirmación Turnos Salud: (268.551)
2- Infracciones: (132.233)
3- Licencias: (106.375)
4- Turnos SAP: (87.502)
5- Turnos Salud:(70.030)
6- Mis profesionales: (61.729)
7- Busca donde está permitido estacionar: (46.499)
8- Renovación de licencia: (46.465)
9- Hospitales: (45.190)
10- Trámites SAP: (43.783)</t>
  </si>
  <si>
    <t>1- Confirmación Turnos Salud: (2.016.130)
2- Infracciones: (1.597.194)
3- Turnos SAP: (1.200.721)
4- Turnos Salud: (988.145)
5- Licencias: (959.914)
6- Mis profesionales: (940.094)
7- Trámites SAP: (582.595)
8- Busca donde está permitido estacionar: (559.397)
9- Renovación de licencia: (545.111)
10- Hospitales: (474.612)</t>
  </si>
  <si>
    <t xml:space="preserve">Contenidos de género </t>
  </si>
  <si>
    <t>Q Contenidos nuevos o mejorados disponibles sobre género</t>
  </si>
  <si>
    <t>5 (contenidos productivos)</t>
  </si>
  <si>
    <t>Ingresos a CAT 144</t>
  </si>
  <si>
    <t>Q de usuarios que ingresaron a la Cola de Atención</t>
  </si>
  <si>
    <t>Q de ingresos registrados en la plataforma Botmaker (atendidos y no atendidos por operador)</t>
  </si>
  <si>
    <t>479 ingresos (456 Atendidos)</t>
  </si>
  <si>
    <t xml:space="preserve">474 ingresos - 446 Agente Disponible- 312 Atendidos </t>
  </si>
  <si>
    <t xml:space="preserve">373 ingresos - 335 Agente Disponible- 206 Atendidos </t>
  </si>
  <si>
    <t>Derivaciones</t>
  </si>
  <si>
    <t>Q Derivaciones</t>
  </si>
  <si>
    <t>Q Derivaciones disponibles a la actualidad</t>
  </si>
  <si>
    <t>Activaciones</t>
  </si>
  <si>
    <t>Q Activaciones</t>
  </si>
  <si>
    <t>Q Activaciones trabajadas/implementadas a la actualidad</t>
  </si>
  <si>
    <t>Mensajes Pushes Enviados</t>
  </si>
  <si>
    <t>Q de mensajes enviados bajo el formato push (1tilde gris)</t>
  </si>
  <si>
    <t>Conteo de ID de mensajes cuyo evento es notification-status-sent (no considera los errores , números inexistentes, etc)</t>
  </si>
  <si>
    <t>Sesiones alcanzadas por Pushes</t>
  </si>
  <si>
    <t>Q Sesiones que recibieron al menos 1 Push</t>
  </si>
  <si>
    <t>Conteo de sesiones cuyo mensaje inicia con Template</t>
  </si>
  <si>
    <t>Sesiones abiertas por Pushes</t>
  </si>
  <si>
    <t>Q Sesiones que se abrieron con una Push</t>
  </si>
  <si>
    <t>Conteo de sesiones agrupadas por starting_cause</t>
  </si>
  <si>
    <t>MC Boti</t>
  </si>
  <si>
    <t xml:space="preserve">No entendimiento </t>
  </si>
  <si>
    <t>Performance motor de búsqueda del nuevo modelo de IA</t>
  </si>
  <si>
    <t>Q No, nada de eso + Q Fuera del modelo en el mes</t>
  </si>
  <si>
    <t>8.15%</t>
  </si>
  <si>
    <t>5.94%</t>
  </si>
  <si>
    <t>NPS</t>
  </si>
  <si>
    <t>%Usuarios Promotores - %Usuarios Detractores</t>
  </si>
  <si>
    <t>Promotores = Calificación 9 y 10 Detractores = Calificación 0 a 6</t>
  </si>
  <si>
    <t>31.26%</t>
  </si>
  <si>
    <t>No va más!</t>
  </si>
  <si>
    <t>Satisfacción</t>
  </si>
  <si>
    <t>Se calcula a través de NPS por tener una correlación de 0,88</t>
  </si>
  <si>
    <t>Satisfechos(NPS de 7 a 10)/Total de respuestas</t>
  </si>
  <si>
    <t>75.25%</t>
  </si>
  <si>
    <t>Tasa de Efectividad</t>
  </si>
  <si>
    <t>Mide el porcentaje de usuarios que lograron su objetivo (Estáticos, Integraciones, Pushes)</t>
  </si>
  <si>
    <t xml:space="preserve">Respuestas Sí/Total de Respuestas </t>
  </si>
  <si>
    <t>CES (Customer Effort Score)</t>
  </si>
  <si>
    <t>Mide la facilidad con la que los usuarios pueden interactuar con el producto (Estáticos, Integraciones)</t>
  </si>
  <si>
    <t>Suma Respuestas Ponderadas/Total Respuestas​</t>
  </si>
  <si>
    <t>Satisfacción (CSAT)</t>
  </si>
  <si>
    <t>Mide la satisfacción usando una escala de 1 a 5, donde 1 es “muy insatisfecho” y 5 es “muy satisfecho”. Considera las respuestas de 4 y 5 como positivas (Estáticos, Integraciones, Pushes)</t>
  </si>
  <si>
    <t>Respuestas Positivas/ Total Respuestas​</t>
  </si>
  <si>
    <t>Canales Digitales (Web + Boti)</t>
  </si>
  <si>
    <t>Indicador unificado de usuarios que lograron su objetivo en los Canales.</t>
  </si>
  <si>
    <t>Índice de Efectividad Combinada (ponderado por el tamaño de usuarios de cada Canal)​</t>
  </si>
  <si>
    <t xml:space="preserve">Tasa de efectividad Web * (Cant Usuarios Web/ Cant Usuarios Totales) + Tasa de efectividad Boti * (Cant Usuarios Boti/ Cant Usuarios Totales) </t>
  </si>
  <si>
    <t>ft</t>
  </si>
  <si>
    <t>fn</t>
  </si>
  <si>
    <t>Célula de trabajo</t>
  </si>
  <si>
    <t>Valor a 12/24</t>
  </si>
  <si>
    <t>oct-al-27</t>
  </si>
  <si>
    <t>wBA</t>
  </si>
  <si>
    <t>Métricas</t>
  </si>
  <si>
    <t>81.07%</t>
  </si>
  <si>
    <t>82.34%</t>
  </si>
  <si>
    <t>82.75%</t>
  </si>
  <si>
    <t>83.38%</t>
  </si>
  <si>
    <t>81.26%</t>
  </si>
  <si>
    <t>82.25%</t>
  </si>
  <si>
    <t>82.57%</t>
  </si>
  <si>
    <t>82.51%</t>
  </si>
  <si>
    <t>79.83%</t>
  </si>
  <si>
    <t>80.17%</t>
  </si>
  <si>
    <t>google analytics  Q HH:mm:ss</t>
  </si>
  <si>
    <t>Uptime/Downtime (% General)</t>
  </si>
  <si>
    <t>0.0888%</t>
  </si>
  <si>
    <t>Uptime/Downtime (Home hh:mm:ss)</t>
  </si>
  <si>
    <t>Indicador de satisfacción (Home)</t>
  </si>
  <si>
    <t>34.2%</t>
  </si>
  <si>
    <t>30.73%</t>
  </si>
  <si>
    <t>39.57%</t>
  </si>
  <si>
    <t>28.99%</t>
  </si>
  <si>
    <t>38.02%</t>
  </si>
  <si>
    <t>34.66%</t>
  </si>
  <si>
    <t>28.97%</t>
  </si>
  <si>
    <t>29.34%</t>
  </si>
  <si>
    <t>23.17%</t>
  </si>
  <si>
    <t>14.57%</t>
  </si>
  <si>
    <t>Indicador de satisfacción (Resto de las webs)</t>
  </si>
  <si>
    <t>82.63%</t>
  </si>
  <si>
    <t>83.53%</t>
  </si>
  <si>
    <t>83.99%</t>
  </si>
  <si>
    <t>84.85%</t>
  </si>
  <si>
    <t>82.53%</t>
  </si>
  <si>
    <t>83.31%</t>
  </si>
  <si>
    <t>84.54%</t>
  </si>
  <si>
    <t>84.48%</t>
  </si>
  <si>
    <t>82.32%</t>
  </si>
  <si>
    <t>Q de páginas nuevas o rediseñadas en wBA</t>
  </si>
  <si>
    <t>Contenidos / Evolución</t>
  </si>
  <si>
    <t>Sitios migrados a wBA</t>
  </si>
  <si>
    <t>Q Sitios fuera de wBA que se migraron a wBA</t>
  </si>
  <si>
    <t>Contenidos</t>
  </si>
  <si>
    <t>Sitios dados de baja</t>
  </si>
  <si>
    <t>Q Sitios fuera de wBA que se dieron de baja</t>
  </si>
  <si>
    <t>Q Sitios wBA con mayor cantidad de visitas en el mes (Top 10)</t>
  </si>
  <si>
    <t>Q Visitas de todos los usuarios en todas sus sesiones en el mes.</t>
  </si>
  <si>
    <t>1-licenciasdeconducir (4.512.602)
2-tramites (2.283.207)
3-jefaturadegabinete (1.344.915)
4-inicio (1.128.774)
5-salud (1.109.675)
6-educacion (1.092.732)
7-noticias (973.552)
8-comprobante-de-legajo (660.211)
9-gobierno (591.325)
10-infraestructura (422.214)</t>
  </si>
  <si>
    <t>1-licenciasdeconducir (3.950.898)
2-educacion (2.656.101)
3-tramites (2.262.377)
4-jefaturadegabinete (1.358.527)
5-inicio (1.355.052)
6-salud (1.175.628)
7-noticias (999.679)
8-comprobante-de-legajo (566.592)
9-gobierno (553.477)
10-informe (394.406)</t>
  </si>
  <si>
    <t>1-licenciasdeconducir	(4.251.660)
2-educacion	(2.722.280)
3-tramites	(2.190.682)
4-inicio	(1.468.726)
5-salud	(1.315.812)
6-jefaturadegabinete	(1.277.559)
7-noticias	(836.337)
8-comprobante-de-legajo	(598.455)
9-gobierno	(583.938)
10-infraestructura	(544.923)</t>
  </si>
  <si>
    <t>1-licenciasdeconducir (4.180.603)
2-educacion (2.071.187)
3-tramites (1.986.505)
4-inicio (1.685.277)
5-salud (1.457.451)
6-jefaturadegabinete (1.354.936)
7-noticias (761.719)
8-gobierno (548.375)
9-comprobante-de-legajo (537.150)
10-jefedegobierno (431.313)</t>
  </si>
  <si>
    <t>1-licenciasdeconducir (4.021.127)
2-tramites (2.048.713)
3-educacion (1.930.533)
4-inicio (1.550.767)
5-justicia (1.338.050)
6-salud (1.172.327)
7-jefaturadegabinete (1.155.650)
8-noticias (766.957)
9-infraestructura (638.909)
10-gobierno (603.011)</t>
  </si>
  <si>
    <t>1- licenciasdeconducir: (4.108.681)
2- tramites: (2.094.218)
3- educacion: (2.038.819)
4- salud: (1.578.854)
5- jefaturadegabinete: (1.093.350)
6- inicio: (1.076.930)
7- noticias: (857.327)
8- gobierno: (526.011)
9- comprobante-de-legajo: (492.596)
10- infraestructura: (374.598)</t>
  </si>
  <si>
    <t>1-licenciasdeconducir (4.407.083)
2-educacion (2.343.669)
3-tramites (2.222.074)
4-salud (1.481.063)
5-jefaturadegabinete (1.126.404)
6-inicio (1.066.427)
7-noticias (799.620)
8-comprobante-de-legajo (615.322)
9-informe (527.501)
10-gobierno (522.286)</t>
  </si>
  <si>
    <t>1-licenciasdeconducir (4.455.309)
2-tramites (2.108.021)
3-educacion (2.061.202)
4-salud (1.273.805)
5-jefaturadegabinete (1.207.426)
6-inicio (1.001.453)
7-noticias (613.579)
8-justicia (812.281)
9-gobierno (496.325)
10-infraestructura (418.553)</t>
  </si>
  <si>
    <t>1-licenciasdeconducir (4.560.715)
2-educacion (2.587.658)
3-tramites (2.188.438)
4-jefaturadegabinete (1.250.036)
5-salud (1.098.736)
6-justicia (1.070.712)
7-noticias (1.031.473)
8-inicio (976.987)
9-gobierno (652.950)
10-comprobante-de-legajo (547.902)</t>
  </si>
  <si>
    <t>1-licenciasdeconducir (3.635.487)
2-justicia (1.976.724)
3-tramites (1.916.844)
4-educacion (1.437.011)
5-jefaturadegabinete (1.202.067)
6-inicio (947.603)
7-salud (871.378)
8-noticias (856.994)
9-gobierno (812.249)
10-infraestructura (450.732)</t>
  </si>
  <si>
    <t>1-licenciasdeconducir (4,248,906)
2-tramites (2,542,264)
3-justicia (2,012,670)
4-educacion (1,714,799)
5-jefaturadegabinete (1,408,325)
6-inicio (1,125,173)
7-noticias (1,030,237)
8-salud (1,026,972)
9-gobierno (941,615)
10-infraestructura (518,263)</t>
  </si>
  <si>
    <t>1-licenciasdeconducir (3,941,449)
2-tramites (2,424,622)
3-jefaturadegabinete (1,545,451)
4-educacion (1,491,254)
5-inicio (1,192,682)
6-noticias (1,038,871)
7-salud (970,512)
8-gobierno (887,484)
9-infraestructura (575,354)
10-comprobante-de-legajo (434,796)</t>
  </si>
  <si>
    <t>1-licenciasdeconducir (4,009,846)
2-tramites (2,250,155)
3-inicio (1,276,555)
4-educacion (1,183,855)
5-jefaturadegabinete (1,174,830)
6-noticias (923,474)
7-salud (851,172)
8-gobierno (768,010)
9-secretariadecomunicacion (576,430)
10-comprobante-de-legajo (509,555)</t>
  </si>
  <si>
    <t>Q Contenidos trabajados/implementados (nuevos/mantenimiento, acumulado a partir de base 2024)</t>
  </si>
  <si>
    <t>CI</t>
  </si>
  <si>
    <t>Contenidos en Botmaker</t>
  </si>
  <si>
    <t>Contenidos prendidos en botmaker (todos los prendidos, incluyendo core, ob y menúes, aws polly, test, apagados-detonables)</t>
  </si>
  <si>
    <t>Q Contenidos / flujos conversacionales implementados en Botmaker, que pueden estar prendidos o apagados (reciclables)</t>
  </si>
  <si>
    <t>Contenidos Prendidos para  el USUARIO</t>
  </si>
  <si>
    <t>Contenidos prendidos de cara al usuario (relevantes) = (no incluye core, ob y menúes, aws polly, test, apagados-detonables)</t>
  </si>
  <si>
    <t>Q Contenidos / flujos conversacionales implementados en Botmaker que están prendidos y son de valor para el usuario</t>
  </si>
  <si>
    <t>Q Integraciones incorporadas al canal</t>
  </si>
  <si>
    <t xml:space="preserve">Trámites, solicitudes y turnos </t>
  </si>
  <si>
    <t>Q Trámites, solicitudes y turnos incorporados al canal</t>
  </si>
  <si>
    <t>Q Contenidos con más interacciones en el mes (Top 10)</t>
  </si>
  <si>
    <t>1- Confirmación turnos salud: (319.105)
2- Infracciones: (154.423)
3- Licencias: (129.187)
4- SAP Turnos: (119.324)
5- Consulta de licencias: (112.946)
6- Turnos para salud: (102.682)
7- Mis profesionales: (89.621)
8- Renovación de licencias: (75.976)
9- Hospitales: (67.514)
10- SAP de Trámites: (61.593)</t>
  </si>
  <si>
    <t>1- Confirmación Turnos Salud: (292.398)
2- Infracciones: (134.231)
3- Turnos Salud: (102.756)
4- Mis profesionales: (96.829)
5- Licencias: (87.632)
6- Turnos SAP: (78.913)
7- Hospitales: (74.479)
8- Busca donde está permitido estacionar: (46.317)
9- Trámites SAP: (45.528)
10- SAP Salud: (40.107)</t>
  </si>
  <si>
    <t>1- Confirmación Turnos Salud: (334.435)
2- Infracciones: (129.292)
3- Turnos Salud: (121.072)
4- Mis profesionales: (111.205)
5- Licencias: (85.372)
6- Hospitales: (84.069)
7- Turnos SAP: (73.146)
8- Trámites SAP: (48.864)
9- Busca donde está permitido estacionar: (48.735)
10- Solicitudes SAP: (43.724)</t>
  </si>
  <si>
    <t>1- Confirmación Turnos Salud: (341.414)
2- Turnos Salud: (143.160)
3- Infracciones: (129.481)
4- Mis profesionales: (120.254)
5- Hospitales: (87.479)
6- Licencias: (82.955)
7- Turnos SAP: (82.523)
8- Trámites Licencias SAP: (70.415)
9- Vacuna antigripal: (64.232)
10- Vacunación general: (56.827)</t>
  </si>
  <si>
    <t>1- Confirmación Turnos Salud (309.493)
2- Turnos S (129.967)
3- Infracciones (123.465)
4- Mis profesionales (115.796)
5- Consulta de Padrón (95.178)
6- Hospitales (86.746)
7- Licencias (78.943)
8- Turnos SAP (77.511)
9- Trámites vehículos SAP (68.032)
10- Renovación de licencia (52.901)</t>
  </si>
  <si>
    <t>1- Confirmación Turnos Salud : (156.545)
2-Turnos Salud : (118.760)
3- Infracciones : (110.410)
4- Mis profesionales : (102.584)
5- Hospitales : (80.059)
6- Turnos SAP : (78.084)
7- Trámites Vehiculos SAP : (67.044)
8 Licencias : (66.184)
9- Trámites SAP: (45.618)
10- Renovación de licencias: (43.525)</t>
  </si>
  <si>
    <t>1- Confirmación Turnos Salud : (421.577)
2-Turnos Salud : (139.486)
3- Mis profesionales : (127.233)
4- Infracciones : (126.334)
5- Hospitales : (92.122)
6- Turnos SAP : (86.633)
7- Licencias : (79.772)
8- Trámites Vehiculos SAP : (77.695)
9- Trámites SAP: (52.320)
10-Busca donde está permitido estacionar: (50.324)</t>
  </si>
  <si>
    <t>1- Confirmación Turnos Salud : (471.568)
2-Turnos Salud : (140.801)
3- Infracciones : (136.063)
4- Mis profesionales : (130.690)
5- Hospitales : (93.714)
6- Turnos SAP : (83.102)
7- Trámites Vehiculos SAP : (76.391)
8- Licencias : (67.226)
9- Trámites SAP: (48.881)
10- Busca donde está permitido estacionar: (44.431)</t>
  </si>
  <si>
    <t>1- Confirmación Turnos Salud : (554.010)
2-Turnos Salud : (147.945)
3- Infracciones : (139.833)
4- Mis profesionales : (137.945)
5- Hospitales : (98.899)
6- Turnos SAP : (91.435)
7- Trámites Vehiculos SAP : (77.024)
8- Licencias : (76.750)
9- Trámites SAP: (52.170)
10-Busca donde está permitido estacionar: (42.344)</t>
  </si>
  <si>
    <t>1- Confirmación Turnos Salud : (422.221)
2- Infracciones : (112.395)
3-Turnos Salud : (112.316)
4- Mis profesionales : (101.870)
5- Turnos SAP : (73.103)
6- Hospitales: (73.052)
7- Licencias: (65.837)
8- Trámites Vehiculos SAP : (64.500)
9- Trámites SAP: (46.685)
10- Solicitudes SAP: (39.275)</t>
  </si>
  <si>
    <t>1- Confirmación Turnos Salud : (496.057)
2- Infracciones : (134.206)
3-Turnos Salud : (133.200)
4- Mis profesionales : (120.765)
5- Turnos SAP : (87.098)
6- Hospitales: (86.863)
7- Trámites Vehiculos SAP : (75.948)
8- Licencias: (75.585)
9- Trámites SAP: (55.301)
10- Buscar donde está permitido estacionar: (42.729)</t>
  </si>
  <si>
    <t>1- Confirmación Turnos Salud : (450.928)
2-Turnos Salud : (123.692)
3- Infracciones : (123.260)
4- Mis profesionales : (111.101)
5- Hospitales: (82.668)
6- Turnos SAP : (82.620)
7- Licencias: (72.283)
8- Trámites Vehiculos SAP : (68.500)
9- Trámites SAP: (53.759)
10- Busca donde está permitido estacionar: (40.750)</t>
  </si>
  <si>
    <t>1- Confirmación Turnos Salud: (386.620)
2- Infracciones: (129.433)
3- Turnos Salud: (96.905)
4- Trámites Vehículos SAP: (95.177)
5- Mis profesionales: (82.921)
6- Licencias: (73.282)
7- Turnos SAP: (65.945)
8- Trámites SAP: (62.509)
9- Hospitales: (60.457)
10- Buscar donde está permitido estacionar: (42.290)</t>
  </si>
  <si>
    <t>Q de ingresos registrados en la plataforma Botmaker (atendidos y no atendidos por operador) -Funnel MMBB CAT 144</t>
  </si>
  <si>
    <t xml:space="preserve">396 ingresos - 361 Agente Disponible- 245 Atendidos </t>
  </si>
  <si>
    <t xml:space="preserve">344 ingresos - 340 Agente Disponible- 216 Atendidos </t>
  </si>
  <si>
    <t xml:space="preserve">366 ingresos - 355 Agente Disponible- 230Atendidos </t>
  </si>
  <si>
    <t xml:space="preserve">382ingresos - 374 Agente Disponible- 218Atendidos </t>
  </si>
  <si>
    <t>327 Ingresos - 320 Agente disponible - 204 Atendidos</t>
  </si>
  <si>
    <t>307 Ingresos - 291 Agente disponible - 186 Atendidos</t>
  </si>
  <si>
    <t>Q Derivaciones incorporadas al canal</t>
  </si>
  <si>
    <t>Q Activaciones trabajadas/implementadas en el canal</t>
  </si>
  <si>
    <t>5.90%</t>
  </si>
  <si>
    <t>5.60%</t>
  </si>
  <si>
    <t>5.50%</t>
  </si>
  <si>
    <t>6.40%</t>
  </si>
  <si>
    <t>10.10%</t>
  </si>
  <si>
    <t>11.70%</t>
  </si>
  <si>
    <t>75.08%</t>
  </si>
  <si>
    <t>Availability (Disponibilidad)</t>
  </si>
  <si>
    <t>Ex Uptime/Downtime -WhatsApp Business Platform se considera disponible a menos que no haya podido enviar o recibir mensajes durante al menos 10 minutos consecutivos.</t>
  </si>
  <si>
    <t>WhatsApp Business API Status</t>
  </si>
  <si>
    <t>100.00%</t>
  </si>
  <si>
    <t>99.94%</t>
  </si>
  <si>
    <t>99.98%</t>
  </si>
  <si>
    <t>99.95%</t>
  </si>
  <si>
    <t>100.0%</t>
  </si>
  <si>
    <t>98.73%</t>
  </si>
  <si>
    <t>Efect</t>
  </si>
  <si>
    <t>Esf</t>
  </si>
  <si>
    <t>Satisf</t>
  </si>
  <si>
    <t>Canal</t>
  </si>
  <si>
    <t>80.16%</t>
  </si>
  <si>
    <t>12.49%</t>
  </si>
  <si>
    <t>12.58%</t>
  </si>
  <si>
    <t>83.89%</t>
  </si>
  <si>
    <t>84.31%</t>
  </si>
  <si>
    <t>1-licenciasdeconducir (4,805,999)
2-tramites (2,807,849)
3-salud (1,328,318)
4-jefaturadegabinete (1,277,328)
5-inicio (1,210,068)
6-noticias (933,286)
7-gobierno (880,844)
8-educacion (845,469)
9-comprobante-de-legajo (587,363)
10-infraestructura (535,312)</t>
  </si>
  <si>
    <t>1-gcaba_historico (7,180,052)
2-licenciasdeconducir (3,606,255)
3-inicio (1,780,680)
4-tramites (1,022,490)
5-noticias (514,009)
6-educacion (420,439)
7-jefaturadegabinete (340,551)
8-salud (337,607)
9-comprobante-de-legajo (313,492)
10-gobierno (241,963)</t>
  </si>
  <si>
    <t>Descubrir BA - Visitas al sitio</t>
  </si>
  <si>
    <t>Q mensual de visitas - Web descubrir</t>
  </si>
  <si>
    <t>Descubrir BA - Sesiones</t>
  </si>
  <si>
    <t>Cantidad de períodos durante el cual un usuario interactúa con el sitio Descubrir BA.</t>
  </si>
  <si>
    <t>Descubrir BA - Usuarios únicos</t>
  </si>
  <si>
    <t>Descubrir BA - Sesiones del Agente</t>
  </si>
  <si>
    <t>Q sesiones con agente en Descubrir</t>
  </si>
  <si>
    <t>CosmosDB</t>
  </si>
  <si>
    <t>BA Productiva - Visitas al sitio</t>
  </si>
  <si>
    <t>Q mensual de visitas - BA Productiva</t>
  </si>
  <si>
    <t>BA Productiva - Sesiones</t>
  </si>
  <si>
    <t>Cantidad de períodos durante el cual un usuario interactúa con el sitio BA Productiva.</t>
  </si>
  <si>
    <t>BA Productiva - Usuarios Únicos</t>
  </si>
  <si>
    <t>BA Productiva - Respuestas del Agente</t>
  </si>
  <si>
    <t>Q respuestas de agente en BA Productiva</t>
  </si>
  <si>
    <t>Trámites</t>
  </si>
  <si>
    <t>Q Trámites integrados y disponibles para el usuario</t>
  </si>
  <si>
    <t>Q trámites STD integrados punta a punta</t>
  </si>
  <si>
    <t>Turnos</t>
  </si>
  <si>
    <t>Q Turnos integrados y disponibles para el usuario</t>
  </si>
  <si>
    <t>Q turnos SIGECI/SIHEOS integrados punta a punta</t>
  </si>
  <si>
    <t>Solicitudes</t>
  </si>
  <si>
    <t>Q Solicitudes integradas y disponibles para el usuario</t>
  </si>
  <si>
    <t>Q prestaciones BA Colaborativa integradas punta a punta</t>
  </si>
  <si>
    <t>Otras consultas/servicios</t>
  </si>
  <si>
    <t>Q integrados y disponibles para el usuario</t>
  </si>
  <si>
    <t>Q otro tipo de servicios de consulta integrados</t>
  </si>
  <si>
    <t>Contenidos más disparados</t>
  </si>
  <si>
    <t>1- Confirmación Turnos Salud: (491.135)
2- Infracciones: (160.845)
3- Turnos Salud: (133.586)
4- Trámites Vehículos SAP: (118.479)
5- Mis profesionales: (109.130)
6- Turnos SAP: (88.423)
7- Licencias: (82.617)
8- Hospitales: (81.726)
9- Trámites SAP: (70.865)
10- Buscar donde está permitido estacionar: (40.441)</t>
  </si>
  <si>
    <t>1- Confirmación Turnos Salud: (373.253)
2- Turnos Salud: (134.719)
3- Infracciones: (125.263)
4- Turnos SAP: (115.827)
5- Mis profesionales: (100.459)
6- Trámites Vehículos SAP: (95.631)
7- Hospitales: (75.067)
8- Licencias: (72.302)
9- Trámites SAP: (62.913)
10- Buscar donde está permitido estacionar: (47.309)</t>
  </si>
  <si>
    <t>Temas más consultados</t>
  </si>
  <si>
    <t>Q de temas solicitados / demandados por los usuarios (Top 10)</t>
  </si>
  <si>
    <t>Q Mensajes de todos los usuarios en todas sus conversaciones en un período determinado</t>
  </si>
  <si>
    <t>1- Infracciones y Multas
2- Estacionamiento 
3- Turnos (Generales)
4- Licencia de Conducir
5- MiBA y Validación
6- Interacicón Humana (Chatear)
7- Educación (Vacantes)
8- Salud (General/Turnos)
9- Telepase
10- DNI y Trámites</t>
  </si>
  <si>
    <t>1- Infracciones y multas
2- Turnos (Generales)
3- Estacionamiento
4- Licencia de Conducir
5- Salud (Médicos/Salud)
6- MiBA y Validación
7- Interacción humana (Chatear)
8- Telepase
9- Impuestos (AGIP/ABL)
10- DNI y Trámites</t>
  </si>
  <si>
    <t>1- Infracciones y multas 
2- Estacionamiento
3- Turnos (Generales)
4- Licencia de Conducir
5- Interacción humana (Chatear)
6- Salud (Médicos/Salud)  
7- Educación (Inscripciones/Becas) 
8- MIBA y Validación 
9- Impuestos (AGIP/ABL)
10-Telepase</t>
  </si>
  <si>
    <t>12.50%</t>
  </si>
  <si>
    <t>BAX</t>
  </si>
  <si>
    <t>Sesiones - Exp Conversacional</t>
  </si>
  <si>
    <t>Es la experiencia de conversación completa que tienen los usuarios. Tomamos como corte para cada nueva sesión por usuarios un lapso de 24 hs. En BAX pueden tener varias sesiones/conversaciones por día. (DGCDI)</t>
  </si>
  <si>
    <t>Base de Datos : caba-piba-consume-zone-db (AWS)</t>
  </si>
  <si>
    <t xml:space="preserve">Usuarios </t>
  </si>
  <si>
    <t>Cantidad de usuarios que usaron la aplicación en ese mes. (DGCIUD)</t>
  </si>
  <si>
    <t xml:space="preserve">Base de datos Login </t>
  </si>
  <si>
    <t>Páginas nuevas</t>
  </si>
  <si>
    <t>Páginas rediseñadas</t>
  </si>
  <si>
    <t>Histórico - Migrados a wBA</t>
  </si>
  <si>
    <t>Por migrar a wBA</t>
  </si>
  <si>
    <t>cc 25 mayo</t>
  </si>
  <si>
    <t>idecaba</t>
  </si>
  <si>
    <t>museo del agua</t>
  </si>
  <si>
    <t>invest ba</t>
  </si>
  <si>
    <t>Autoseguro? Animales?</t>
  </si>
  <si>
    <t>InvestBA?</t>
  </si>
  <si>
    <t>ccnnya</t>
  </si>
  <si>
    <t>firma digital</t>
  </si>
  <si>
    <t>Descubrir BA</t>
  </si>
  <si>
    <t>talento tech</t>
  </si>
  <si>
    <t>Cambio Climático </t>
  </si>
  <si>
    <t>entur</t>
  </si>
  <si>
    <t>Ciudad Verde</t>
  </si>
  <si>
    <t>festivales ba</t>
  </si>
  <si>
    <t>Escuela Metropolitana de Arte Dramático - EMAD</t>
  </si>
  <si>
    <t>Conservatorio Superior de Música Astor Piazzolla</t>
  </si>
  <si>
    <t>Conservatorio Superior de Música Manuel de Falla</t>
  </si>
  <si>
    <t>Ciudad Verde / Ministerio de Espacio Público e Higiene Urbana </t>
  </si>
  <si>
    <t>Study BA</t>
  </si>
  <si>
    <t>Agencia de Habilidades para el futuro</t>
  </si>
  <si>
    <t>BA Obras</t>
  </si>
  <si>
    <t>Histórico - Integraciones en wBA</t>
  </si>
  <si>
    <t>Integraciones nuevas en wBA</t>
  </si>
  <si>
    <t>Ba Productiva (Agente + Buscador SOLR) x2</t>
  </si>
  <si>
    <t>Obsequios y viajes (no PRD)</t>
  </si>
  <si>
    <t>Estado del subte</t>
  </si>
  <si>
    <t>Animales BA</t>
  </si>
  <si>
    <t>Consulta legajos/infracciones</t>
  </si>
  <si>
    <t>VTV (Drupal)</t>
  </si>
  <si>
    <t>Perfil: login / notificaciones / turnos / documentos</t>
  </si>
  <si>
    <t>Portal de autenticidad</t>
  </si>
  <si>
    <t>Consulta de administradores de consorcios</t>
  </si>
  <si>
    <t>N°</t>
  </si>
  <si>
    <t xml:space="preserve">Área </t>
  </si>
  <si>
    <t>Servicio brindado</t>
  </si>
  <si>
    <t>Implementado</t>
  </si>
  <si>
    <t>Comentarios</t>
  </si>
  <si>
    <t>Capacitaciones Obelisco v2 - Diciembre 2024</t>
  </si>
  <si>
    <t>TAD</t>
  </si>
  <si>
    <t>Implementación de Obelisco</t>
  </si>
  <si>
    <t>No</t>
  </si>
  <si>
    <t>Capacitación TAD</t>
  </si>
  <si>
    <t>AGC</t>
  </si>
  <si>
    <t>Capacitación miBA</t>
  </si>
  <si>
    <t>AGIP</t>
  </si>
  <si>
    <t>Capacitación SIGECI / BA Turnos</t>
  </si>
  <si>
    <t>APRA</t>
  </si>
  <si>
    <t>Capacitación BA Colaborativa</t>
  </si>
  <si>
    <t>SIPSA</t>
  </si>
  <si>
    <t>Parcial</t>
  </si>
  <si>
    <t>Capacitación PSOC / RIB</t>
  </si>
  <si>
    <t>Teatro Colón</t>
  </si>
  <si>
    <t>Pantallas para migrar a wBA</t>
  </si>
  <si>
    <t>Capacitación Inscripción Escolar</t>
  </si>
  <si>
    <t>BA Taxi</t>
  </si>
  <si>
    <t>Feedback de implementación de Obelisco</t>
  </si>
  <si>
    <t>BA Data</t>
  </si>
  <si>
    <t>Pantallas</t>
  </si>
  <si>
    <t>Portal de Empleo</t>
  </si>
  <si>
    <t>Solo Header y Footer</t>
  </si>
  <si>
    <t>miBA</t>
  </si>
  <si>
    <t>Si</t>
  </si>
  <si>
    <t>BAC</t>
  </si>
  <si>
    <t>PSOC</t>
  </si>
  <si>
    <t>SIGECI</t>
  </si>
  <si>
    <t>Inscripción Escolar</t>
  </si>
  <si>
    <t>IEL</t>
  </si>
  <si>
    <t>Discapacidad</t>
  </si>
  <si>
    <t>Pantallas nueva landing en wBA</t>
  </si>
  <si>
    <t>XBA</t>
  </si>
  <si>
    <t>DGSISAN</t>
  </si>
  <si>
    <t>Talento Tech</t>
  </si>
  <si>
    <t>Diselo template para migrar a wBA + Implementación de Obelisco</t>
  </si>
  <si>
    <t>BA Entradas</t>
  </si>
  <si>
    <t>Filas Virtuales</t>
  </si>
  <si>
    <t>Academia BA</t>
  </si>
  <si>
    <t>IDECABA</t>
  </si>
  <si>
    <t>DGSEI (Autogestión contraseñas)</t>
  </si>
  <si>
    <t>BA Productiva</t>
  </si>
  <si>
    <t>Pantallas/Template</t>
  </si>
  <si>
    <t>BAX App</t>
  </si>
  <si>
    <t>BAX wBA</t>
  </si>
  <si>
    <t>Pantallas Perfil</t>
  </si>
  <si>
    <t>Esperando integración con Flutter para salir a PRD</t>
  </si>
  <si>
    <t>Esperando el servicio para salir a PRD</t>
  </si>
  <si>
    <t>Proyectos</t>
  </si>
  <si>
    <t>Propuesta de nuevos indicadores</t>
  </si>
  <si>
    <t>Meta 2026</t>
  </si>
  <si>
    <t>Meta 2027</t>
  </si>
  <si>
    <t>Canales Conversacionales (Chatbot)</t>
  </si>
  <si>
    <t>Integraciones con servicios</t>
  </si>
  <si>
    <t>Agentes</t>
  </si>
  <si>
    <t>wBA (Plataforma)</t>
  </si>
  <si>
    <t>Notificaciones (Plataforma)</t>
  </si>
  <si>
    <t>Nuevos clientes</t>
  </si>
  <si>
    <t>x nuevos clientes</t>
  </si>
  <si>
    <t>x clientes integrados</t>
  </si>
  <si>
    <t>CPE (Plataforma)</t>
  </si>
  <si>
    <t>Personalizaciones</t>
  </si>
  <si>
    <t>x atributos de personalización</t>
  </si>
  <si>
    <t>x atributos disponibles</t>
  </si>
  <si>
    <t>x usuarios con registro de personalización</t>
  </si>
  <si>
    <t>x usuarios alcanzados</t>
  </si>
  <si>
    <t>Asistentes</t>
  </si>
  <si>
    <t>x nuevos asistentes</t>
  </si>
  <si>
    <t>x asistentes disponibles</t>
  </si>
  <si>
    <t>x nuevos usuarios siguiendo asistentes</t>
  </si>
  <si>
    <t>Servicio Experiencia (Obelisco)</t>
  </si>
  <si>
    <t>Sitios externos migrados wBA</t>
  </si>
  <si>
    <t>Derivación</t>
  </si>
  <si>
    <t>Fecha en Producción</t>
  </si>
  <si>
    <t>Aclaraciones</t>
  </si>
  <si>
    <t>Productivo (Si/No)</t>
  </si>
  <si>
    <t>Contención Familiar</t>
  </si>
  <si>
    <t>Línea 102</t>
  </si>
  <si>
    <t>CNNyA</t>
  </si>
  <si>
    <t>Línea 147</t>
  </si>
  <si>
    <t>DGCDC</t>
  </si>
  <si>
    <t>Línea 144</t>
  </si>
  <si>
    <t>Línea 108 - Situación de Calle</t>
  </si>
  <si>
    <t>Atención Social</t>
  </si>
  <si>
    <t>Adicciones</t>
  </si>
  <si>
    <t>Adultos Mayores</t>
  </si>
  <si>
    <t>AUSA</t>
  </si>
  <si>
    <t>Becas Alimentarias</t>
  </si>
  <si>
    <t>Educación</t>
  </si>
  <si>
    <t>Ciberseguridad</t>
  </si>
  <si>
    <t>DG Seguridad Informática</t>
  </si>
  <si>
    <t>Diversidad / Discriminación</t>
  </si>
  <si>
    <t>Gestor de Encuentros</t>
  </si>
  <si>
    <t>Salud</t>
  </si>
  <si>
    <t>Infracciones - Auxiliar</t>
  </si>
  <si>
    <t>DGAI</t>
  </si>
  <si>
    <t>Apagada en Octubre 2025 por definición del área</t>
  </si>
  <si>
    <t>Infracciones - Controlador</t>
  </si>
  <si>
    <t>Soporte miBA</t>
  </si>
  <si>
    <t>DGCIUD</t>
  </si>
  <si>
    <t>Terminá la Secundaria</t>
  </si>
  <si>
    <t>Turismo</t>
  </si>
  <si>
    <t>ENTUR</t>
  </si>
  <si>
    <t>Gestor de Encuentros Push (Demanda Insatisfecha)</t>
  </si>
  <si>
    <t>Apagada en Septiembre 2025 por definición del área</t>
  </si>
  <si>
    <t>Telemedicina</t>
  </si>
  <si>
    <t>CEDETAC</t>
  </si>
  <si>
    <t>Docentes</t>
  </si>
  <si>
    <t>IVC</t>
  </si>
  <si>
    <t>Tipo</t>
  </si>
  <si>
    <t>Servicio/Trámite</t>
  </si>
  <si>
    <t>Integrado (Sí/No)</t>
  </si>
  <si>
    <t>Productivo (Sí/No)</t>
  </si>
  <si>
    <t>Integración</t>
  </si>
  <si>
    <t>Consulta de inspecciones programadas de AGC</t>
  </si>
  <si>
    <t>Búsqueda Senderos por escuela o mapa de senderos</t>
  </si>
  <si>
    <t>Consulta Estado Clima</t>
  </si>
  <si>
    <t>Consulta dónde dejar la bici</t>
  </si>
  <si>
    <t>Consulta servicios de cercanía</t>
  </si>
  <si>
    <t>Consulta estado del subte</t>
  </si>
  <si>
    <t>Consulta estado de solicitud BA Colaborativa</t>
  </si>
  <si>
    <t>Consulta deuda TelePASE (AUSA)</t>
  </si>
  <si>
    <t>Consulta y resultado proactivo de Test COVID</t>
  </si>
  <si>
    <t>Consulta estado becas alimentarias</t>
  </si>
  <si>
    <t>Consulta Certificado Covid</t>
  </si>
  <si>
    <t>Consulta permitido estacionar</t>
  </si>
  <si>
    <t>Chequeo padrón de Salud</t>
  </si>
  <si>
    <t>Consulta estado vacante (preinscripción escolar)</t>
  </si>
  <si>
    <t>Solicitud</t>
  </si>
  <si>
    <t>Campana verde</t>
  </si>
  <si>
    <t>No se prendió porque se unificó con otra prestación.</t>
  </si>
  <si>
    <t>Extracción de árbol</t>
  </si>
  <si>
    <t>Trámite</t>
  </si>
  <si>
    <t>Deudor alimentario</t>
  </si>
  <si>
    <t>Apagado por migración del trámite a TAD</t>
  </si>
  <si>
    <t>NO</t>
  </si>
  <si>
    <t>Sol. copia de escritura (IVC)</t>
  </si>
  <si>
    <t>Sol. regularización dominial (IVC)​</t>
  </si>
  <si>
    <t>Turno</t>
  </si>
  <si>
    <t>Nuevo ejemplar DNI Argentino​</t>
  </si>
  <si>
    <t>Consulta de expediente DGROC</t>
  </si>
  <si>
    <t>Rendición subsidio habitacional 690</t>
  </si>
  <si>
    <t>Falta de conservación o mantenimiento de fachada o balcón​</t>
  </si>
  <si>
    <t>Turno Nuevo ejemplar DNI Extranjero​</t>
  </si>
  <si>
    <t>Solicitud de Vaciado de Contenedor.</t>
  </si>
  <si>
    <t>Presentación de Certificado Escolar para Estudiar es Trabajar</t>
  </si>
  <si>
    <t>Entrega de Certificados Escolares de Ciudadanía Porteña</t>
  </si>
  <si>
    <t>Auto abandonado</t>
  </si>
  <si>
    <t>Denuncia vial / Auto mal estacionado</t>
  </si>
  <si>
    <t>Criadero de mosquitos</t>
  </si>
  <si>
    <t>Reparación de bache​</t>
  </si>
  <si>
    <t>Validación presencial - Biometría</t>
  </si>
  <si>
    <t>Poda de árboles</t>
  </si>
  <si>
    <t>Reparación de luminaria</t>
  </si>
  <si>
    <t>Reparación de vereda</t>
  </si>
  <si>
    <t>Residuos voluminosos - Muebles</t>
  </si>
  <si>
    <t>Residuos voluminosos - Escombros</t>
  </si>
  <si>
    <t>Residuos voluminosos - Restos de poda</t>
  </si>
  <si>
    <t>Toldos, anuncios publicitarios o marquesinas en mal estado</t>
  </si>
  <si>
    <t>Consulta estado de trámite STD</t>
  </si>
  <si>
    <t>Consulta charla educación vial</t>
  </si>
  <si>
    <t xml:space="preserve">Apagado. Validamos todas la charlas en un servicio único nuevo </t>
  </si>
  <si>
    <t>Charla virtual - Renovación de Licencia</t>
  </si>
  <si>
    <t>Mejora de barrido</t>
  </si>
  <si>
    <t>Unión civil convivencial</t>
  </si>
  <si>
    <t>Certificado de legalidad de licencia</t>
  </si>
  <si>
    <t>Cambio de identidad de género</t>
  </si>
  <si>
    <t>Consulta Scoring</t>
  </si>
  <si>
    <t>Servicio de la DGAI sobre puntos que le quedan a la licencia.</t>
  </si>
  <si>
    <t>Buscador de CESACS</t>
  </si>
  <si>
    <t>Renovación Licencias</t>
  </si>
  <si>
    <t xml:space="preserve">Trámite </t>
  </si>
  <si>
    <t>Otorgamiento Licencias</t>
  </si>
  <si>
    <t>Turno Renovación Licencias</t>
  </si>
  <si>
    <t>Turno Otorgamiento Licencias</t>
  </si>
  <si>
    <t>COVID-19 Adultos</t>
  </si>
  <si>
    <t>COVID-19 Menores</t>
  </si>
  <si>
    <t>COVID-19 Alérgicos</t>
  </si>
  <si>
    <t>Salud con Mis Profesionales</t>
  </si>
  <si>
    <t>SIGEHOS</t>
  </si>
  <si>
    <t>Suscripciones BA</t>
  </si>
  <si>
    <t>Pintura de frentes vandalizados - pintura sobre grafittis</t>
  </si>
  <si>
    <t>Pintura de frentes vandalizados - hidrolavado</t>
  </si>
  <si>
    <t>Partidas nacimiento</t>
  </si>
  <si>
    <t>Con y sin datos (x2)</t>
  </si>
  <si>
    <t>Apagadas por migración a TAD</t>
  </si>
  <si>
    <t>Partidas matrimonio</t>
  </si>
  <si>
    <t>Sí</t>
  </si>
  <si>
    <t>Partidas defunción</t>
  </si>
  <si>
    <t>Retiro de objetos en desuso</t>
  </si>
  <si>
    <t>Barrios populares: Desagote pozo ciego</t>
  </si>
  <si>
    <t>Barrios populares: Inconvenientes con la red de electricidad</t>
  </si>
  <si>
    <t>Barrios populares: Desobstrucción de cloaca</t>
  </si>
  <si>
    <t>Barrios populares: Inconveniente de suministro de agua</t>
  </si>
  <si>
    <t>Desratizar, desinsectar y desinfectar en vía pública. Temática: Higiene. Categoría madre: Limpieza y recolección</t>
  </si>
  <si>
    <t>Reubicación de contenedor</t>
  </si>
  <si>
    <t>Reimpresión de licencia</t>
  </si>
  <si>
    <t>Apagado por descontinuidad del trámite.</t>
  </si>
  <si>
    <t>Incidentes miba - Mesa de Ayuda</t>
  </si>
  <si>
    <t>Reparación de contenedor</t>
  </si>
  <si>
    <t>Desinfección/Desinsectación/Desratización en establecimiento educativo estatal Temática: Educación. Categoría madre: Educación</t>
  </si>
  <si>
    <t xml:space="preserve">Finalizada. Por problemas entre SAP y GC no se prendió
</t>
  </si>
  <si>
    <t>Vacuna Antigripal</t>
  </si>
  <si>
    <t>Residuos fuera del Contenedor</t>
  </si>
  <si>
    <t>Ampliación de Licencia</t>
  </si>
  <si>
    <t>Reparación de Contenedor</t>
  </si>
  <si>
    <t>02/09 fue bloqueado por validación del área, lo dieron de baja.</t>
  </si>
  <si>
    <t>Solicitud de reposición de contenedor​</t>
  </si>
  <si>
    <t xml:space="preserve">El área decidió dar de baja la prestación en todos los canales. </t>
  </si>
  <si>
    <t>Estado de expediente de APRA</t>
  </si>
  <si>
    <t>Mayor iluminación en calle/plaza</t>
  </si>
  <si>
    <t>Consulta Infracciones</t>
  </si>
  <si>
    <t>Solic. de Columna/poste/cable en mal estado, abandonado o cortado​</t>
  </si>
  <si>
    <t>Turno vacuna dengue (SIGECI General con miBA)</t>
  </si>
  <si>
    <t xml:space="preserve">Se prendió solamente para un grupo etario espefícico (15 a 19 años) y accesible a través de una push. Fue por corto plazo. Se prendió y se apagó en febrero 2025 (24/2). </t>
  </si>
  <si>
    <t>Trámite de renovación de licencia por cambio de jurisdicción ​</t>
  </si>
  <si>
    <t xml:space="preserve">Nuevo servicio Charla virtual 2 </t>
  </si>
  <si>
    <t xml:space="preserve">Se actualizan las integraciones de trámites de licencia de conducir que utilizan la charla virtual. Validamos que exista una charla vigente. Si un usuario no tiene la charla vigente, porque no la hizo o se le venció, le imposibilitamos la gestión de los trámites de licencias y le damos un link para que haga la charla </t>
  </si>
  <si>
    <t>Prestación BAC - Seguimiento vacunados dengue</t>
  </si>
  <si>
    <t>Envío de pushes para seguimiento de vacunados dengue, con persistencia de datos en prestación BA Colaborativa. No es un "servicio" nuevo para el usuario, es una integración que aporta una funcionalidad para el seguimiento de vacunados.</t>
  </si>
  <si>
    <t>Solicitud de consultas e inconvenientes con TAD</t>
  </si>
  <si>
    <t>Solicitud de construcción sin permiso o sin cartel reglamentario o QR</t>
  </si>
  <si>
    <t>Trámite de Duplicado de Licencia de Conducir</t>
  </si>
  <si>
    <t xml:space="preserve"> Solicitud Consultas por plazos o demoras en el Expediente de catastro, obras, instalaciones y factibilidad.</t>
  </si>
  <si>
    <t>Lavado de contenedor</t>
  </si>
  <si>
    <t>Reparación de semáforo</t>
  </si>
  <si>
    <t>Turno Pasaporte Primer Ejemplar</t>
  </si>
  <si>
    <t>Turno Pasaporte Nuevo Ejemplar</t>
  </si>
  <si>
    <t>Solicitud Inconvenientes con STD</t>
  </si>
  <si>
    <t>Turno Cambio de domicilio en DNI</t>
  </si>
  <si>
    <t>Turno Cambio de domicilio en DNI (residentes permanentes)</t>
  </si>
  <si>
    <t>Consulta de estado de Libro Digital (AGC)</t>
  </si>
  <si>
    <t>Turno para práctica de manejo en pista auto particular</t>
  </si>
  <si>
    <t>Reevaluación de examen teórico-práctico de licencias</t>
  </si>
  <si>
    <t>MVP Turnos Abiertos de Salud (SIGHEOS)</t>
  </si>
  <si>
    <t xml:space="preserve">
 </t>
  </si>
  <si>
    <t>Consulta de estado programa Ciudadanía Porteña</t>
  </si>
  <si>
    <t>Denuncias - Ministerio Público Fiscal</t>
  </si>
  <si>
    <t>Solicitud Obra/Construcción que afecta o daña vivienda lindera.</t>
  </si>
  <si>
    <t>TBD</t>
  </si>
  <si>
    <t>22/5 El área solicitó cambios de último momento en el formulario que se persiste tanto en la web de BA Colaborativa como en Boti. Sin embargo, todavía no tienen definiciones respecto a los cambios a aplicar. Nos comunicamos tanto desde BA Colaborativa como desde Boti y no hubo respuesta.</t>
  </si>
  <si>
    <t>Turno para Actas de Tránsito</t>
  </si>
  <si>
    <t>Prestación BAC - Reuniones con vecinos</t>
  </si>
  <si>
    <t>No es un "servicio" nuevo para el usuario, es una integración que aporta una funcionalidad para recuperar feedback del usuario en una experiencia en territorio.</t>
  </si>
  <si>
    <t>Prestación BAC - Feedback post reuniones con vecinos</t>
  </si>
  <si>
    <t>Consulta deudor moroso (Deudores alimentarios)</t>
  </si>
  <si>
    <t>Turno práctica en pista para moto particular</t>
  </si>
  <si>
    <t>Turno audiencia virtual de controladores</t>
  </si>
  <si>
    <t>Turno reevaluación de Licencia de Conducir</t>
  </si>
  <si>
    <t>Ampliación Turnos Abiertos de Salud (Nuevas especialidades)</t>
  </si>
  <si>
    <t>No lo contamos como un "servicio" nuevo para el usuario, ya que sería una evolución o mejora  de una integración de un servicio que ya existía, sumando más especialidades a la turnera.</t>
  </si>
  <si>
    <t>Consulta link expirable IEL - Inscripción escolar fuera de término</t>
  </si>
  <si>
    <t>Nuevo blanqueo de miBA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</si>
</sst>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2">
    <font>
      <sz val="10"/>
      <color rgb="FF000000"/>
      <name val="Arial"/>
      <scheme val="minor"/>
    </font>
    <font>
      <b/>
      <sz val="10"/>
      <color theme="1"/>
      <name val="Montserrat"/>
    </font>
    <font>
      <b/>
      <sz val="10"/>
      <color theme="1"/>
      <name val="Nunito"/>
    </font>
    <font>
      <u/>
      <sz val="10"/>
      <color rgb="FF1155CC"/>
      <name val="Montserrat"/>
    </font>
    <font>
      <sz val="10"/>
      <color theme="1"/>
      <name val="Arial"/>
    </font>
    <font>
      <sz val="10"/>
      <color theme="1"/>
      <name val="Montserrat"/>
    </font>
    <font>
      <sz val="9"/>
      <color theme="1"/>
      <name val="Nunito"/>
    </font>
    <font>
      <sz val="9"/>
      <color rgb="FF000000"/>
      <name val="Nunito"/>
    </font>
    <font>
      <sz val="10"/>
      <name val="Arial"/>
    </font>
    <font>
      <sz val="9"/>
      <color rgb="FF1F1F1F"/>
      <name val="&quot;Google Sans&quot;"/>
    </font>
    <font>
      <sz val="9"/>
      <color rgb="FF1F1F1F"/>
      <name val="Google Sans"/>
    </font>
    <font>
      <sz val="9"/>
      <color rgb="FF1F1F1F"/>
      <name val="Nunito"/>
    </font>
    <font>
      <sz val="9"/>
      <color theme="1"/>
      <name val="Arial"/>
    </font>
    <font>
      <sz val="10"/>
      <color theme="1"/>
      <name val="Arial"/>
      <scheme val="minor"/>
    </font>
    <font>
      <sz val="10"/>
      <color theme="1"/>
      <name val="Nunito"/>
    </font>
    <font>
      <sz val="9"/>
      <color rgb="FF000000"/>
      <name val="Calibri"/>
    </font>
    <font>
      <sz val="9"/>
      <color rgb="FF1F1F1F"/>
      <name val="Nunito"/>
      <charset val="1"/>
    </font>
    <font>
      <b/>
      <sz val="9"/>
      <color theme="1"/>
      <name val="Nunito"/>
    </font>
    <font>
      <b/>
      <sz val="11"/>
      <color rgb="FF000000"/>
      <name val="Calibri"/>
      <family val="2"/>
    </font>
    <font>
      <b/>
      <sz val="10"/>
      <color rgb="FF000000"/>
      <name val="Arial"/>
      <scheme val="minor"/>
    </font>
    <font>
      <u/>
      <sz val="10"/>
      <color theme="10"/>
      <name val="Arial"/>
      <scheme val="minor"/>
    </font>
    <font>
      <i/>
      <sz val="10"/>
      <color rgb="FF000000"/>
      <name val="Arial"/>
      <scheme val="minor"/>
    </font>
    <font>
      <sz val="11"/>
      <color rgb="FF000000"/>
      <name val="Calibri"/>
      <family val="2"/>
    </font>
    <font>
      <sz val="11"/>
      <name val="Calibri"/>
    </font>
    <font>
      <sz val="11"/>
      <color rgb="FF000000"/>
      <name val="Calibri"/>
    </font>
    <font>
      <b/>
      <sz val="9"/>
      <color rgb="FF000000"/>
      <name val="Montserrat"/>
    </font>
    <font>
      <sz val="9"/>
      <color theme="1"/>
      <name val="Montserrat"/>
    </font>
    <font>
      <sz val="9"/>
      <name val="Montserrat"/>
    </font>
    <font>
      <sz val="9"/>
      <color rgb="FF000000"/>
      <name val="Montserrat"/>
    </font>
    <font>
      <b/>
      <sz val="9"/>
      <color theme="1"/>
      <name val="Montserrat"/>
    </font>
    <font>
      <u/>
      <sz val="10"/>
      <color theme="10"/>
      <name val="Montserrat"/>
    </font>
    <font>
      <b/>
      <sz val="10"/>
      <color theme="1"/>
      <name val="Verdana"/>
    </font>
    <font>
      <sz val="10"/>
      <color rgb="FF000000"/>
      <name val="Arial"/>
      <charset val="1"/>
    </font>
    <font>
      <b/>
      <sz val="10"/>
      <color rgb="FF000000"/>
      <name val="Arial"/>
      <charset val="1"/>
    </font>
    <font>
      <b/>
      <sz val="8"/>
      <color rgb="FF000000"/>
      <name val="Montserrat"/>
    </font>
    <font>
      <b/>
      <sz val="8"/>
      <color rgb="FF000000"/>
      <name val="Montserrat "/>
    </font>
    <font>
      <sz val="8"/>
      <color rgb="FF000000"/>
      <name val="Montserrat"/>
    </font>
    <font>
      <sz val="9"/>
      <color theme="1"/>
      <name val="Aptos"/>
    </font>
    <font>
      <sz val="9"/>
      <color rgb="FF000000"/>
      <name val="Aptos"/>
    </font>
    <font>
      <b/>
      <sz val="9"/>
      <color theme="0"/>
      <name val="Aptos"/>
    </font>
    <font>
      <strike/>
      <sz val="8"/>
      <color rgb="FF000000"/>
      <name val="Montserrat"/>
    </font>
    <font>
      <sz val="9"/>
      <color rgb="FFFF0000"/>
      <name val="Aptos"/>
    </font>
  </fonts>
  <fills count="24">
    <fill>
      <patternFill patternType="none"/>
    </fill>
    <fill>
      <patternFill patternType="gray125"/>
    </fill>
    <fill>
      <patternFill patternType="solid">
        <fgColor rgb="FF93C47D"/>
        <bgColor rgb="FF93C47D"/>
      </patternFill>
    </fill>
    <fill>
      <patternFill patternType="solid">
        <fgColor rgb="FFD9EAD3"/>
        <bgColor rgb="FFD9EAD3"/>
      </patternFill>
    </fill>
    <fill>
      <patternFill patternType="solid">
        <fgColor rgb="FFFFFFFF"/>
        <bgColor rgb="FFFFFFFF"/>
      </patternFill>
    </fill>
    <fill>
      <patternFill patternType="solid">
        <fgColor rgb="FFEA9999"/>
        <bgColor rgb="FFEA9999"/>
      </patternFill>
    </fill>
    <fill>
      <patternFill patternType="solid">
        <fgColor rgb="FFD9EAD3"/>
        <bgColor indexed="64"/>
      </patternFill>
    </fill>
    <fill>
      <patternFill patternType="solid">
        <fgColor theme="0"/>
        <bgColor indexed="64"/>
      </patternFill>
    </fill>
    <fill>
      <patternFill patternType="solid">
        <fgColor theme="0" tint="-4.9989318521683403E-2"/>
        <bgColor indexed="64"/>
      </patternFill>
    </fill>
    <fill>
      <patternFill patternType="solid">
        <fgColor rgb="FFF2F2F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8F9FA"/>
        <bgColor rgb="FFF8F9FA"/>
      </patternFill>
    </fill>
    <fill>
      <patternFill patternType="solid">
        <fgColor theme="5" tint="0.79998168889431442"/>
        <bgColor indexed="64"/>
      </patternFill>
    </fill>
    <fill>
      <patternFill patternType="solid">
        <fgColor rgb="FFFFFF00"/>
        <bgColor indexed="64"/>
      </patternFill>
    </fill>
    <fill>
      <patternFill patternType="solid">
        <fgColor rgb="FF00FF00"/>
        <bgColor indexed="64"/>
      </patternFill>
    </fill>
    <fill>
      <patternFill patternType="solid">
        <fgColor rgb="FFF8FFA6"/>
        <bgColor indexed="64"/>
      </patternFill>
    </fill>
    <fill>
      <patternFill patternType="solid">
        <fgColor rgb="FFFF0000"/>
        <bgColor indexed="64"/>
      </patternFill>
    </fill>
    <fill>
      <patternFill patternType="solid">
        <fgColor theme="2" tint="-9.9978637043366805E-2"/>
        <bgColor indexed="64"/>
      </patternFill>
    </fill>
    <fill>
      <patternFill patternType="solid">
        <fgColor rgb="FFF1A983"/>
        <bgColor indexed="64"/>
      </patternFill>
    </fill>
    <fill>
      <patternFill patternType="solid">
        <fgColor rgb="FFF6DCFA"/>
        <bgColor indexed="64"/>
      </patternFill>
    </fill>
  </fills>
  <borders count="78">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ck">
        <color rgb="FF000000"/>
      </bottom>
      <diagonal/>
    </border>
    <border>
      <left style="thin">
        <color rgb="FF000000"/>
      </left>
      <right style="thin">
        <color rgb="FF000000"/>
      </right>
      <top style="thick">
        <color rgb="FF000000"/>
      </top>
      <bottom/>
      <diagonal/>
    </border>
    <border>
      <left style="thin">
        <color rgb="FF000000"/>
      </left>
      <right/>
      <top style="thick">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ck">
        <color rgb="FF000000"/>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ck">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top style="thin">
        <color rgb="FF000000"/>
      </top>
      <bottom/>
      <diagonal/>
    </border>
    <border>
      <left style="thin">
        <color rgb="FF000000"/>
      </left>
      <right style="thick">
        <color rgb="FF000000"/>
      </right>
      <top style="thin">
        <color rgb="FF000000"/>
      </top>
      <bottom/>
      <diagonal/>
    </border>
    <border>
      <left/>
      <right style="thick">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medium">
        <color rgb="FF000000"/>
      </bottom>
      <diagonal/>
    </border>
    <border>
      <left style="medium">
        <color rgb="FF000000"/>
      </left>
      <right/>
      <top style="medium">
        <color rgb="FF000000"/>
      </top>
      <bottom style="thin">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thin">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top style="thin">
        <color rgb="FF000000"/>
      </top>
      <bottom/>
      <diagonal/>
    </border>
    <border>
      <left/>
      <right/>
      <top style="thin">
        <color rgb="FF000000"/>
      </top>
      <bottom style="medium">
        <color rgb="FF000000"/>
      </bottom>
      <diagonal/>
    </border>
    <border>
      <left/>
      <right/>
      <top/>
      <bottom style="medium">
        <color rgb="FF000000"/>
      </bottom>
      <diagonal/>
    </border>
    <border>
      <left/>
      <right/>
      <top style="thick">
        <color rgb="FF000000"/>
      </top>
      <bottom style="thin">
        <color rgb="FF000000"/>
      </bottom>
      <diagonal/>
    </border>
    <border>
      <left/>
      <right style="thin">
        <color rgb="FF000000"/>
      </right>
      <top style="medium">
        <color rgb="FF000000"/>
      </top>
      <bottom/>
      <diagonal/>
    </border>
    <border>
      <left/>
      <right style="thin">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thick">
        <color rgb="FF000000"/>
      </right>
      <top style="medium">
        <color rgb="FF000000"/>
      </top>
      <bottom/>
      <diagonal/>
    </border>
    <border>
      <left style="thin">
        <color rgb="FF000000"/>
      </left>
      <right style="thin">
        <color rgb="FF000000"/>
      </right>
      <top style="medium">
        <color rgb="FF000000"/>
      </top>
      <bottom/>
      <diagonal/>
    </border>
    <border>
      <left/>
      <right style="thick">
        <color rgb="FF000000"/>
      </right>
      <top style="medium">
        <color rgb="FF000000"/>
      </top>
      <bottom/>
      <diagonal/>
    </border>
    <border>
      <left/>
      <right style="medium">
        <color rgb="FF000000"/>
      </right>
      <top style="medium">
        <color rgb="FF000000"/>
      </top>
      <bottom/>
      <diagonal/>
    </border>
    <border>
      <left style="medium">
        <color rgb="FF000000"/>
      </left>
      <right style="thin">
        <color rgb="FF000000"/>
      </right>
      <top style="thick">
        <color rgb="FF000000"/>
      </top>
      <bottom/>
      <diagonal/>
    </border>
    <border>
      <left style="medium">
        <color rgb="FF000000"/>
      </left>
      <right style="thin">
        <color rgb="FF000000"/>
      </right>
      <top/>
      <bottom/>
      <diagonal/>
    </border>
    <border>
      <left style="medium">
        <color rgb="FF000000"/>
      </left>
      <right style="thin">
        <color rgb="FF000000"/>
      </right>
      <top/>
      <bottom style="thick">
        <color rgb="FF000000"/>
      </bottom>
      <diagonal/>
    </border>
    <border>
      <left style="medium">
        <color rgb="FF000000"/>
      </left>
      <right/>
      <top style="thick">
        <color rgb="FF000000"/>
      </top>
      <bottom/>
      <diagonal/>
    </border>
    <border>
      <left style="medium">
        <color rgb="FF000000"/>
      </left>
      <right/>
      <top/>
      <bottom/>
      <diagonal/>
    </border>
    <border>
      <left style="medium">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CCCCCC"/>
      </right>
      <top style="thin">
        <color rgb="FFCCCCCC"/>
      </top>
      <bottom style="thin">
        <color rgb="FF000000"/>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theme="2" tint="-9.9978637043366805E-2"/>
      </left>
      <right style="thin">
        <color theme="2" tint="-9.9978637043366805E-2"/>
      </right>
      <top style="thin">
        <color theme="2" tint="-9.9978637043366805E-2"/>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s>
  <cellStyleXfs count="2">
    <xf numFmtId="0" fontId="0" fillId="0" borderId="0"/>
    <xf numFmtId="0" fontId="20" fillId="0" borderId="0" applyNumberFormat="0" applyFill="0" applyBorder="0" applyAlignment="0" applyProtection="0"/>
  </cellStyleXfs>
  <cellXfs count="515">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xf>
    <xf numFmtId="0" fontId="6" fillId="3" borderId="5" xfId="0" applyFont="1" applyFill="1" applyBorder="1"/>
    <xf numFmtId="0" fontId="7" fillId="0" borderId="6" xfId="0" applyFont="1" applyBorder="1" applyAlignment="1">
      <alignment horizontal="center"/>
    </xf>
    <xf numFmtId="0" fontId="6" fillId="0" borderId="8" xfId="0" applyFont="1" applyBorder="1"/>
    <xf numFmtId="0" fontId="6" fillId="0" borderId="8" xfId="0" applyFont="1" applyBorder="1" applyAlignment="1">
      <alignment horizontal="center"/>
    </xf>
    <xf numFmtId="0" fontId="6" fillId="0" borderId="8" xfId="0" applyFont="1" applyBorder="1" applyAlignment="1">
      <alignment horizontal="center" vertical="center"/>
    </xf>
    <xf numFmtId="0" fontId="6" fillId="0" borderId="6" xfId="0" applyFont="1" applyBorder="1" applyAlignment="1">
      <alignment horizontal="center"/>
    </xf>
    <xf numFmtId="164" fontId="6" fillId="0" borderId="8" xfId="0" applyNumberFormat="1" applyFont="1" applyBorder="1" applyAlignment="1">
      <alignment horizontal="center" vertical="center"/>
    </xf>
    <xf numFmtId="164" fontId="6" fillId="0" borderId="6" xfId="0" applyNumberFormat="1" applyFont="1" applyBorder="1" applyAlignment="1">
      <alignment horizontal="center" vertical="center"/>
    </xf>
    <xf numFmtId="164" fontId="6" fillId="0" borderId="8" xfId="0" applyNumberFormat="1" applyFont="1" applyBorder="1" applyAlignment="1">
      <alignment horizontal="center"/>
    </xf>
    <xf numFmtId="10" fontId="6" fillId="0" borderId="8" xfId="0" applyNumberFormat="1" applyFont="1" applyBorder="1" applyAlignment="1">
      <alignment horizontal="center" vertical="center"/>
    </xf>
    <xf numFmtId="21" fontId="9" fillId="4" borderId="8" xfId="0" applyNumberFormat="1" applyFont="1" applyFill="1" applyBorder="1" applyAlignment="1">
      <alignment horizontal="center"/>
    </xf>
    <xf numFmtId="21" fontId="10" fillId="4" borderId="9" xfId="0" applyNumberFormat="1" applyFont="1" applyFill="1" applyBorder="1" applyAlignment="1">
      <alignment horizontal="center"/>
    </xf>
    <xf numFmtId="10" fontId="6" fillId="0" borderId="8" xfId="0" applyNumberFormat="1" applyFont="1" applyBorder="1" applyAlignment="1">
      <alignment horizontal="center" vertical="center" wrapText="1"/>
    </xf>
    <xf numFmtId="10" fontId="6" fillId="0" borderId="6" xfId="0" applyNumberFormat="1" applyFont="1" applyBorder="1" applyAlignment="1">
      <alignment horizontal="center" vertical="center" wrapText="1"/>
    </xf>
    <xf numFmtId="0" fontId="6" fillId="0" borderId="6" xfId="0" applyFont="1" applyBorder="1" applyAlignment="1">
      <alignment horizontal="center" vertical="center" wrapText="1"/>
    </xf>
    <xf numFmtId="10" fontId="7" fillId="0" borderId="8" xfId="0" applyNumberFormat="1" applyFont="1" applyBorder="1" applyAlignment="1">
      <alignment horizontal="center" vertical="center"/>
    </xf>
    <xf numFmtId="0" fontId="6" fillId="0" borderId="6" xfId="0" applyFont="1" applyBorder="1"/>
    <xf numFmtId="0" fontId="6" fillId="5" borderId="6" xfId="0" applyFont="1" applyFill="1" applyBorder="1"/>
    <xf numFmtId="0" fontId="6" fillId="5" borderId="3" xfId="0" applyFont="1" applyFill="1" applyBorder="1"/>
    <xf numFmtId="0" fontId="6" fillId="0" borderId="12" xfId="0" applyFont="1" applyBorder="1"/>
    <xf numFmtId="0" fontId="6" fillId="0" borderId="12" xfId="0" applyFont="1" applyBorder="1" applyAlignment="1">
      <alignment horizontal="center"/>
    </xf>
    <xf numFmtId="3" fontId="6" fillId="0" borderId="8" xfId="0" applyNumberFormat="1" applyFont="1" applyBorder="1" applyAlignment="1">
      <alignment horizontal="center"/>
    </xf>
    <xf numFmtId="0" fontId="6" fillId="0" borderId="13" xfId="0" applyFont="1" applyBorder="1" applyAlignment="1">
      <alignment horizontal="center"/>
    </xf>
    <xf numFmtId="0" fontId="6" fillId="0" borderId="14" xfId="0" applyFont="1" applyBorder="1" applyAlignment="1">
      <alignment horizontal="center"/>
    </xf>
    <xf numFmtId="0" fontId="6" fillId="0" borderId="9" xfId="0" applyFont="1" applyBorder="1" applyAlignment="1">
      <alignment horizontal="center"/>
    </xf>
    <xf numFmtId="0" fontId="6" fillId="0" borderId="11" xfId="0" applyFont="1" applyBorder="1"/>
    <xf numFmtId="0" fontId="6" fillId="0" borderId="11" xfId="0" applyFont="1" applyBorder="1" applyAlignment="1">
      <alignment horizontal="center"/>
    </xf>
    <xf numFmtId="0" fontId="4" fillId="0" borderId="0" xfId="0" applyFont="1"/>
    <xf numFmtId="0" fontId="5" fillId="0" borderId="0" xfId="0" applyFont="1" applyAlignment="1">
      <alignment horizontal="center"/>
    </xf>
    <xf numFmtId="0" fontId="5" fillId="0" borderId="0" xfId="0" applyFont="1" applyAlignment="1">
      <alignment horizontal="center" wrapText="1"/>
    </xf>
    <xf numFmtId="10" fontId="6" fillId="4" borderId="8" xfId="0" applyNumberFormat="1" applyFont="1" applyFill="1" applyBorder="1" applyAlignment="1">
      <alignment horizontal="center"/>
    </xf>
    <xf numFmtId="0" fontId="13" fillId="0" borderId="0" xfId="0" applyFont="1" applyAlignment="1">
      <alignment horizontal="center"/>
    </xf>
    <xf numFmtId="0" fontId="14" fillId="0" borderId="0" xfId="0" applyFont="1" applyAlignment="1">
      <alignment horizontal="center"/>
    </xf>
    <xf numFmtId="21" fontId="15" fillId="0" borderId="0" xfId="0" applyNumberFormat="1" applyFont="1" applyAlignment="1">
      <alignment horizontal="left"/>
    </xf>
    <xf numFmtId="21" fontId="7" fillId="0" borderId="0" xfId="0" applyNumberFormat="1" applyFont="1" applyAlignment="1">
      <alignment horizontal="center"/>
    </xf>
    <xf numFmtId="3" fontId="13" fillId="0" borderId="0" xfId="0" applyNumberFormat="1" applyFont="1"/>
    <xf numFmtId="0" fontId="6" fillId="0" borderId="9" xfId="0" applyFont="1" applyBorder="1" applyAlignment="1">
      <alignment horizontal="center" vertical="center"/>
    </xf>
    <xf numFmtId="0" fontId="6" fillId="4" borderId="6" xfId="0" applyFont="1" applyFill="1" applyBorder="1"/>
    <xf numFmtId="0" fontId="6" fillId="6" borderId="14" xfId="0" applyFont="1" applyFill="1" applyBorder="1"/>
    <xf numFmtId="0" fontId="6" fillId="6" borderId="6" xfId="0" applyFont="1" applyFill="1" applyBorder="1"/>
    <xf numFmtId="3" fontId="7" fillId="0" borderId="6" xfId="0" applyNumberFormat="1" applyFont="1" applyBorder="1" applyAlignment="1">
      <alignment horizontal="center"/>
    </xf>
    <xf numFmtId="10" fontId="7" fillId="0" borderId="6" xfId="0" applyNumberFormat="1" applyFont="1" applyBorder="1" applyAlignment="1">
      <alignment horizontal="center"/>
    </xf>
    <xf numFmtId="21" fontId="7" fillId="0" borderId="6" xfId="0" applyNumberFormat="1" applyFont="1" applyBorder="1" applyAlignment="1">
      <alignment horizontal="center"/>
    </xf>
    <xf numFmtId="21" fontId="7" fillId="0" borderId="8" xfId="0" applyNumberFormat="1" applyFont="1" applyBorder="1" applyAlignment="1">
      <alignment horizontal="center"/>
    </xf>
    <xf numFmtId="21" fontId="11" fillId="4" borderId="8" xfId="0" applyNumberFormat="1" applyFont="1" applyFill="1" applyBorder="1" applyAlignment="1">
      <alignment horizontal="center"/>
    </xf>
    <xf numFmtId="164" fontId="7" fillId="0" borderId="6" xfId="0" applyNumberFormat="1" applyFont="1" applyBorder="1" applyAlignment="1">
      <alignment horizontal="center"/>
    </xf>
    <xf numFmtId="21" fontId="9" fillId="4" borderId="14" xfId="0" applyNumberFormat="1" applyFont="1" applyFill="1" applyBorder="1" applyAlignment="1">
      <alignment horizontal="center"/>
    </xf>
    <xf numFmtId="10" fontId="7" fillId="0" borderId="6" xfId="0" applyNumberFormat="1" applyFont="1" applyBorder="1" applyAlignment="1">
      <alignment horizontal="center" vertical="center"/>
    </xf>
    <xf numFmtId="0" fontId="6" fillId="0" borderId="18" xfId="0" applyFont="1" applyBorder="1"/>
    <xf numFmtId="0" fontId="6" fillId="0" borderId="19" xfId="0" applyFont="1" applyBorder="1" applyAlignment="1">
      <alignment horizontal="center"/>
    </xf>
    <xf numFmtId="0" fontId="6" fillId="0" borderId="16" xfId="0" applyFont="1" applyBorder="1"/>
    <xf numFmtId="0" fontId="6" fillId="0" borderId="21" xfId="0" applyFont="1" applyBorder="1"/>
    <xf numFmtId="0" fontId="6" fillId="0" borderId="22" xfId="0" applyFont="1" applyBorder="1"/>
    <xf numFmtId="0" fontId="6" fillId="0" borderId="23" xfId="0" applyFont="1" applyBorder="1" applyAlignment="1">
      <alignment horizontal="center"/>
    </xf>
    <xf numFmtId="0" fontId="6" fillId="0" borderId="24" xfId="0" applyFont="1" applyBorder="1" applyAlignment="1">
      <alignment horizontal="center"/>
    </xf>
    <xf numFmtId="3" fontId="6" fillId="0" borderId="19" xfId="0" applyNumberFormat="1" applyFont="1" applyBorder="1" applyAlignment="1">
      <alignment horizontal="center"/>
    </xf>
    <xf numFmtId="3" fontId="6" fillId="0" borderId="19" xfId="0" applyNumberFormat="1" applyFont="1" applyBorder="1" applyAlignment="1">
      <alignment horizontal="center" vertical="center"/>
    </xf>
    <xf numFmtId="3" fontId="6" fillId="0" borderId="20" xfId="0" applyNumberFormat="1" applyFont="1" applyBorder="1" applyAlignment="1">
      <alignment horizontal="center"/>
    </xf>
    <xf numFmtId="3" fontId="7" fillId="0" borderId="20" xfId="0" applyNumberFormat="1" applyFont="1" applyBorder="1" applyAlignment="1">
      <alignment horizontal="center"/>
    </xf>
    <xf numFmtId="17" fontId="2" fillId="0" borderId="27" xfId="0" applyNumberFormat="1" applyFont="1" applyBorder="1" applyAlignment="1">
      <alignment horizontal="center"/>
    </xf>
    <xf numFmtId="0" fontId="12" fillId="0" borderId="8" xfId="0" applyFont="1" applyBorder="1" applyAlignment="1">
      <alignment horizontal="center"/>
    </xf>
    <xf numFmtId="3" fontId="6" fillId="0" borderId="11" xfId="0" applyNumberFormat="1" applyFont="1" applyBorder="1" applyAlignment="1">
      <alignment horizontal="center"/>
    </xf>
    <xf numFmtId="3" fontId="6" fillId="0" borderId="0" xfId="0" applyNumberFormat="1" applyFont="1" applyAlignment="1">
      <alignment horizontal="center"/>
    </xf>
    <xf numFmtId="3" fontId="6" fillId="0" borderId="17" xfId="0" applyNumberFormat="1" applyFont="1" applyBorder="1" applyAlignment="1">
      <alignment horizontal="center"/>
    </xf>
    <xf numFmtId="3" fontId="6" fillId="0" borderId="7" xfId="0" applyNumberFormat="1" applyFont="1" applyBorder="1" applyAlignment="1">
      <alignment horizontal="center"/>
    </xf>
    <xf numFmtId="10" fontId="6" fillId="7" borderId="8" xfId="0" applyNumberFormat="1" applyFont="1" applyFill="1" applyBorder="1" applyAlignment="1">
      <alignment horizontal="center"/>
    </xf>
    <xf numFmtId="10" fontId="6" fillId="0" borderId="14" xfId="0" applyNumberFormat="1" applyFont="1" applyBorder="1" applyAlignment="1">
      <alignment horizontal="center"/>
    </xf>
    <xf numFmtId="3" fontId="6" fillId="0" borderId="25" xfId="0" applyNumberFormat="1" applyFont="1" applyBorder="1" applyAlignment="1">
      <alignment horizontal="center"/>
    </xf>
    <xf numFmtId="10" fontId="6" fillId="0" borderId="6" xfId="0" applyNumberFormat="1" applyFont="1" applyBorder="1" applyAlignment="1">
      <alignment horizontal="center" vertical="center"/>
    </xf>
    <xf numFmtId="21" fontId="11" fillId="4" borderId="6" xfId="0" applyNumberFormat="1" applyFont="1" applyFill="1" applyBorder="1" applyAlignment="1">
      <alignment horizontal="center"/>
    </xf>
    <xf numFmtId="0" fontId="6" fillId="0" borderId="14" xfId="0" applyFont="1" applyBorder="1" applyAlignment="1">
      <alignment horizontal="center" vertical="center" wrapText="1"/>
    </xf>
    <xf numFmtId="3" fontId="6" fillId="0" borderId="6" xfId="0" applyNumberFormat="1" applyFont="1" applyBorder="1" applyAlignment="1">
      <alignment horizontal="center"/>
    </xf>
    <xf numFmtId="10" fontId="6" fillId="4" borderId="6" xfId="0" applyNumberFormat="1" applyFont="1" applyFill="1" applyBorder="1" applyAlignment="1">
      <alignment horizontal="center"/>
    </xf>
    <xf numFmtId="10" fontId="6" fillId="4" borderId="12" xfId="0" applyNumberFormat="1" applyFont="1" applyFill="1" applyBorder="1" applyAlignment="1">
      <alignment horizontal="center"/>
    </xf>
    <xf numFmtId="10" fontId="6" fillId="7" borderId="6" xfId="0" applyNumberFormat="1" applyFont="1" applyFill="1" applyBorder="1" applyAlignment="1">
      <alignment horizontal="center"/>
    </xf>
    <xf numFmtId="10" fontId="6" fillId="4" borderId="29" xfId="0" applyNumberFormat="1" applyFont="1" applyFill="1" applyBorder="1" applyAlignment="1">
      <alignment horizontal="center"/>
    </xf>
    <xf numFmtId="0" fontId="6" fillId="0" borderId="30" xfId="0" applyFont="1" applyBorder="1"/>
    <xf numFmtId="0" fontId="6" fillId="0" borderId="31" xfId="0" applyFont="1" applyBorder="1"/>
    <xf numFmtId="21" fontId="9" fillId="4" borderId="0" xfId="0" applyNumberFormat="1" applyFont="1" applyFill="1" applyAlignment="1">
      <alignment horizontal="center"/>
    </xf>
    <xf numFmtId="0" fontId="6" fillId="0" borderId="32" xfId="0" applyFont="1" applyBorder="1"/>
    <xf numFmtId="0" fontId="6" fillId="0" borderId="33" xfId="0" applyFont="1" applyBorder="1"/>
    <xf numFmtId="3" fontId="6" fillId="0" borderId="9" xfId="0" applyNumberFormat="1" applyFont="1" applyBorder="1" applyAlignment="1">
      <alignment horizontal="center"/>
    </xf>
    <xf numFmtId="3" fontId="6" fillId="0" borderId="14" xfId="0" applyNumberFormat="1" applyFont="1" applyBorder="1" applyAlignment="1">
      <alignment horizontal="center"/>
    </xf>
    <xf numFmtId="21" fontId="11" fillId="4" borderId="7" xfId="0" applyNumberFormat="1" applyFont="1" applyFill="1" applyBorder="1" applyAlignment="1">
      <alignment horizontal="center"/>
    </xf>
    <xf numFmtId="1" fontId="6" fillId="4" borderId="15" xfId="0" applyNumberFormat="1" applyFont="1" applyFill="1" applyBorder="1" applyAlignment="1">
      <alignment horizontal="center"/>
    </xf>
    <xf numFmtId="9" fontId="6" fillId="4" borderId="8" xfId="0" applyNumberFormat="1" applyFont="1" applyFill="1" applyBorder="1" applyAlignment="1">
      <alignment horizontal="center"/>
    </xf>
    <xf numFmtId="9" fontId="6" fillId="4" borderId="6" xfId="0" applyNumberFormat="1" applyFont="1" applyFill="1" applyBorder="1" applyAlignment="1">
      <alignment horizontal="center"/>
    </xf>
    <xf numFmtId="0" fontId="6" fillId="8" borderId="8" xfId="0" applyFont="1" applyFill="1" applyBorder="1" applyAlignment="1">
      <alignment horizontal="center"/>
    </xf>
    <xf numFmtId="0" fontId="6" fillId="8" borderId="6" xfId="0" applyFont="1" applyFill="1" applyBorder="1" applyAlignment="1">
      <alignment horizontal="center"/>
    </xf>
    <xf numFmtId="0" fontId="6" fillId="6" borderId="12" xfId="0" applyFont="1" applyFill="1" applyBorder="1"/>
    <xf numFmtId="0" fontId="6" fillId="6" borderId="8" xfId="0" applyFont="1" applyFill="1" applyBorder="1"/>
    <xf numFmtId="0" fontId="6" fillId="7" borderId="6" xfId="0" applyFont="1" applyFill="1" applyBorder="1" applyAlignment="1">
      <alignment horizontal="center" wrapText="1"/>
    </xf>
    <xf numFmtId="0" fontId="6" fillId="0" borderId="34" xfId="0" applyFont="1" applyBorder="1" applyAlignment="1">
      <alignment horizontal="center"/>
    </xf>
    <xf numFmtId="3" fontId="6" fillId="0" borderId="12" xfId="0" applyNumberFormat="1" applyFont="1" applyBorder="1" applyAlignment="1">
      <alignment horizontal="center"/>
    </xf>
    <xf numFmtId="9" fontId="6" fillId="0" borderId="12" xfId="0" applyNumberFormat="1" applyFont="1" applyBorder="1" applyAlignment="1">
      <alignment horizontal="center"/>
    </xf>
    <xf numFmtId="1" fontId="6" fillId="4" borderId="12" xfId="0" applyNumberFormat="1" applyFont="1" applyFill="1" applyBorder="1" applyAlignment="1">
      <alignment horizontal="center"/>
    </xf>
    <xf numFmtId="10" fontId="6" fillId="7" borderId="9" xfId="0" applyNumberFormat="1" applyFont="1" applyFill="1" applyBorder="1" applyAlignment="1">
      <alignment horizontal="center"/>
    </xf>
    <xf numFmtId="0" fontId="6" fillId="7" borderId="8" xfId="0" applyFont="1" applyFill="1" applyBorder="1" applyAlignment="1">
      <alignment horizontal="center" wrapText="1"/>
    </xf>
    <xf numFmtId="46" fontId="16" fillId="0" borderId="8" xfId="0" applyNumberFormat="1" applyFont="1" applyBorder="1" applyAlignment="1">
      <alignment horizontal="center"/>
    </xf>
    <xf numFmtId="164" fontId="6" fillId="0" borderId="1" xfId="0" applyNumberFormat="1" applyFont="1" applyBorder="1" applyAlignment="1">
      <alignment horizontal="center" vertical="center"/>
    </xf>
    <xf numFmtId="10" fontId="6" fillId="0" borderId="9" xfId="0" applyNumberFormat="1" applyFont="1" applyBorder="1" applyAlignment="1">
      <alignment horizontal="center" vertical="center" wrapText="1"/>
    </xf>
    <xf numFmtId="0" fontId="6" fillId="8" borderId="12" xfId="0" applyFont="1" applyFill="1" applyBorder="1" applyAlignment="1">
      <alignment horizontal="center"/>
    </xf>
    <xf numFmtId="1" fontId="6" fillId="7" borderId="12" xfId="0" applyNumberFormat="1"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35" xfId="0" applyFont="1" applyBorder="1" applyAlignment="1">
      <alignment horizontal="center"/>
    </xf>
    <xf numFmtId="0" fontId="6" fillId="0" borderId="1" xfId="0" applyFont="1" applyBorder="1"/>
    <xf numFmtId="0" fontId="6" fillId="0" borderId="28" xfId="0" applyFont="1" applyBorder="1"/>
    <xf numFmtId="0" fontId="6" fillId="0" borderId="36" xfId="0" applyFont="1" applyBorder="1"/>
    <xf numFmtId="0" fontId="6" fillId="4" borderId="36" xfId="0" applyFont="1" applyFill="1" applyBorder="1" applyAlignment="1">
      <alignment horizontal="center"/>
    </xf>
    <xf numFmtId="10" fontId="6" fillId="4" borderId="36" xfId="0" applyNumberFormat="1" applyFont="1" applyFill="1" applyBorder="1" applyAlignment="1">
      <alignment horizontal="center"/>
    </xf>
    <xf numFmtId="10" fontId="6" fillId="4" borderId="37" xfId="0" applyNumberFormat="1" applyFont="1" applyFill="1" applyBorder="1" applyAlignment="1">
      <alignment horizontal="center"/>
    </xf>
    <xf numFmtId="0" fontId="6" fillId="4" borderId="37" xfId="0" applyFont="1" applyFill="1" applyBorder="1" applyAlignment="1">
      <alignment horizontal="center"/>
    </xf>
    <xf numFmtId="0" fontId="6" fillId="6" borderId="36" xfId="0" applyFont="1" applyFill="1" applyBorder="1"/>
    <xf numFmtId="0" fontId="6" fillId="0" borderId="9" xfId="0" applyFont="1" applyBorder="1"/>
    <xf numFmtId="0" fontId="6" fillId="0" borderId="36" xfId="0" applyFont="1" applyBorder="1" applyAlignment="1">
      <alignment horizontal="center"/>
    </xf>
    <xf numFmtId="10" fontId="6" fillId="9" borderId="8" xfId="0" applyNumberFormat="1" applyFont="1" applyFill="1" applyBorder="1" applyAlignment="1">
      <alignment horizontal="center"/>
    </xf>
    <xf numFmtId="10" fontId="6" fillId="9" borderId="6" xfId="0" applyNumberFormat="1" applyFont="1" applyFill="1" applyBorder="1" applyAlignment="1">
      <alignment horizontal="center"/>
    </xf>
    <xf numFmtId="10" fontId="6" fillId="9" borderId="12" xfId="0" applyNumberFormat="1" applyFont="1" applyFill="1" applyBorder="1" applyAlignment="1">
      <alignment horizontal="center"/>
    </xf>
    <xf numFmtId="10" fontId="6" fillId="9" borderId="9" xfId="0" applyNumberFormat="1" applyFont="1" applyFill="1" applyBorder="1" applyAlignment="1">
      <alignment horizontal="center"/>
    </xf>
    <xf numFmtId="10" fontId="6" fillId="9" borderId="14" xfId="0" applyNumberFormat="1" applyFont="1" applyFill="1" applyBorder="1" applyAlignment="1">
      <alignment horizontal="center"/>
    </xf>
    <xf numFmtId="10" fontId="6" fillId="9" borderId="13" xfId="0" applyNumberFormat="1" applyFont="1" applyFill="1" applyBorder="1" applyAlignment="1">
      <alignment horizontal="center"/>
    </xf>
    <xf numFmtId="10" fontId="0" fillId="0" borderId="8" xfId="0" applyNumberFormat="1" applyBorder="1" applyAlignment="1">
      <alignment horizontal="center"/>
    </xf>
    <xf numFmtId="0" fontId="18" fillId="0" borderId="8" xfId="0" applyFont="1" applyBorder="1" applyAlignment="1">
      <alignment horizontal="center"/>
    </xf>
    <xf numFmtId="0" fontId="19" fillId="0" borderId="0" xfId="0" applyFont="1"/>
    <xf numFmtId="10" fontId="0" fillId="0" borderId="0" xfId="0" applyNumberFormat="1"/>
    <xf numFmtId="10" fontId="19" fillId="0" borderId="0" xfId="0" applyNumberFormat="1" applyFont="1"/>
    <xf numFmtId="3" fontId="0" fillId="0" borderId="0" xfId="0" applyNumberFormat="1"/>
    <xf numFmtId="0" fontId="6" fillId="0" borderId="0" xfId="0" applyFont="1" applyAlignment="1">
      <alignment horizontal="center"/>
    </xf>
    <xf numFmtId="0" fontId="0" fillId="0" borderId="0" xfId="0" applyAlignment="1">
      <alignment wrapText="1"/>
    </xf>
    <xf numFmtId="3" fontId="6" fillId="0" borderId="0" xfId="0" applyNumberFormat="1" applyFont="1" applyAlignment="1">
      <alignment horizontal="center" vertical="center"/>
    </xf>
    <xf numFmtId="3" fontId="7" fillId="0" borderId="0" xfId="0" applyNumberFormat="1" applyFont="1" applyAlignment="1">
      <alignment horizontal="center"/>
    </xf>
    <xf numFmtId="0" fontId="5" fillId="2" borderId="0" xfId="0" applyFont="1" applyFill="1" applyAlignment="1">
      <alignment horizontal="center" vertical="center" wrapText="1"/>
    </xf>
    <xf numFmtId="0" fontId="8" fillId="0" borderId="0" xfId="0" applyFont="1"/>
    <xf numFmtId="10" fontId="17" fillId="4" borderId="0" xfId="0" applyNumberFormat="1" applyFont="1" applyFill="1" applyAlignment="1">
      <alignment horizontal="center"/>
    </xf>
    <xf numFmtId="9" fontId="6" fillId="0" borderId="8" xfId="0" applyNumberFormat="1" applyFont="1" applyBorder="1" applyAlignment="1">
      <alignment horizontal="center"/>
    </xf>
    <xf numFmtId="1" fontId="6" fillId="4" borderId="8" xfId="0" applyNumberFormat="1" applyFont="1" applyFill="1" applyBorder="1" applyAlignment="1">
      <alignment horizontal="center"/>
    </xf>
    <xf numFmtId="10" fontId="17" fillId="4" borderId="8" xfId="0" applyNumberFormat="1" applyFont="1" applyFill="1" applyBorder="1" applyAlignment="1">
      <alignment horizontal="center"/>
    </xf>
    <xf numFmtId="10" fontId="6" fillId="7" borderId="14" xfId="0" applyNumberFormat="1" applyFont="1" applyFill="1" applyBorder="1" applyAlignment="1">
      <alignment horizontal="center"/>
    </xf>
    <xf numFmtId="164" fontId="6" fillId="0" borderId="25" xfId="0" applyNumberFormat="1" applyFont="1" applyBorder="1" applyAlignment="1">
      <alignment horizontal="center" vertical="center"/>
    </xf>
    <xf numFmtId="46" fontId="16" fillId="0" borderId="6" xfId="0" applyNumberFormat="1" applyFont="1" applyBorder="1" applyAlignment="1">
      <alignment horizontal="center"/>
    </xf>
    <xf numFmtId="10" fontId="6" fillId="0" borderId="14" xfId="0" applyNumberFormat="1" applyFont="1" applyBorder="1" applyAlignment="1">
      <alignment horizontal="center" vertical="center" wrapText="1"/>
    </xf>
    <xf numFmtId="0" fontId="6" fillId="0" borderId="39" xfId="0" applyFont="1" applyBorder="1" applyAlignment="1">
      <alignment horizontal="center"/>
    </xf>
    <xf numFmtId="3" fontId="6" fillId="0" borderId="13" xfId="0" applyNumberFormat="1" applyFont="1" applyBorder="1" applyAlignment="1">
      <alignment horizontal="center"/>
    </xf>
    <xf numFmtId="9" fontId="6" fillId="0" borderId="13" xfId="0" applyNumberFormat="1" applyFont="1" applyBorder="1" applyAlignment="1">
      <alignment horizontal="center"/>
    </xf>
    <xf numFmtId="1" fontId="6" fillId="4" borderId="13" xfId="0" applyNumberFormat="1" applyFont="1" applyFill="1" applyBorder="1" applyAlignment="1">
      <alignment horizontal="center"/>
    </xf>
    <xf numFmtId="1" fontId="6" fillId="7" borderId="13" xfId="0" applyNumberFormat="1" applyFont="1" applyFill="1" applyBorder="1" applyAlignment="1">
      <alignment horizontal="center" vertical="center" wrapText="1"/>
    </xf>
    <xf numFmtId="10" fontId="6" fillId="4" borderId="13" xfId="0" applyNumberFormat="1" applyFont="1" applyFill="1" applyBorder="1" applyAlignment="1">
      <alignment horizontal="center"/>
    </xf>
    <xf numFmtId="10" fontId="6" fillId="4" borderId="40" xfId="0" applyNumberFormat="1" applyFont="1" applyFill="1" applyBorder="1" applyAlignment="1">
      <alignment horizontal="center"/>
    </xf>
    <xf numFmtId="0" fontId="18" fillId="0" borderId="6" xfId="0" applyFont="1" applyBorder="1" applyAlignment="1">
      <alignment horizontal="center"/>
    </xf>
    <xf numFmtId="1" fontId="6" fillId="0" borderId="8" xfId="0" applyNumberFormat="1" applyFont="1" applyBorder="1" applyAlignment="1">
      <alignment horizontal="center" vertical="center" wrapText="1"/>
    </xf>
    <xf numFmtId="10" fontId="6" fillId="0" borderId="8" xfId="0" applyNumberFormat="1" applyFont="1" applyBorder="1" applyAlignment="1">
      <alignment horizontal="center"/>
    </xf>
    <xf numFmtId="14" fontId="2" fillId="0" borderId="26" xfId="0" applyNumberFormat="1" applyFont="1" applyBorder="1" applyAlignment="1">
      <alignment horizontal="center"/>
    </xf>
    <xf numFmtId="14" fontId="2" fillId="0" borderId="25" xfId="0" applyNumberFormat="1" applyFont="1" applyBorder="1" applyAlignment="1">
      <alignment horizontal="center"/>
    </xf>
    <xf numFmtId="14" fontId="1" fillId="0" borderId="2" xfId="0" applyNumberFormat="1" applyFont="1" applyBorder="1" applyAlignment="1">
      <alignment horizontal="center"/>
    </xf>
    <xf numFmtId="10" fontId="6" fillId="0" borderId="1" xfId="0" applyNumberFormat="1" applyFont="1" applyBorder="1" applyAlignment="1">
      <alignment horizontal="center"/>
    </xf>
    <xf numFmtId="0" fontId="6" fillId="0" borderId="1" xfId="0" applyFont="1" applyBorder="1" applyAlignment="1">
      <alignment horizontal="center"/>
    </xf>
    <xf numFmtId="0" fontId="17" fillId="3" borderId="41" xfId="0" applyFont="1" applyFill="1" applyBorder="1"/>
    <xf numFmtId="0" fontId="17" fillId="6" borderId="13" xfId="0" applyFont="1" applyFill="1" applyBorder="1"/>
    <xf numFmtId="0" fontId="17" fillId="6" borderId="35" xfId="0" applyFont="1" applyFill="1" applyBorder="1"/>
    <xf numFmtId="0" fontId="17" fillId="4" borderId="35" xfId="0" applyFont="1" applyFill="1" applyBorder="1"/>
    <xf numFmtId="0" fontId="6" fillId="0" borderId="28" xfId="0" applyFont="1" applyBorder="1" applyAlignment="1">
      <alignment horizontal="center"/>
    </xf>
    <xf numFmtId="10" fontId="6" fillId="4" borderId="9" xfId="0" applyNumberFormat="1" applyFont="1" applyFill="1" applyBorder="1" applyAlignment="1">
      <alignment horizontal="center"/>
    </xf>
    <xf numFmtId="0" fontId="6" fillId="4" borderId="9" xfId="0" applyFont="1" applyFill="1" applyBorder="1" applyAlignment="1">
      <alignment horizontal="center"/>
    </xf>
    <xf numFmtId="10" fontId="6" fillId="4" borderId="14" xfId="0" applyNumberFormat="1" applyFont="1" applyFill="1" applyBorder="1" applyAlignment="1">
      <alignment horizontal="center"/>
    </xf>
    <xf numFmtId="10" fontId="0" fillId="0" borderId="14" xfId="0" applyNumberFormat="1" applyBorder="1" applyAlignment="1">
      <alignment horizontal="center"/>
    </xf>
    <xf numFmtId="0" fontId="6" fillId="9" borderId="8" xfId="0" applyFont="1" applyFill="1" applyBorder="1" applyAlignment="1">
      <alignment horizontal="center"/>
    </xf>
    <xf numFmtId="0" fontId="6" fillId="0" borderId="13" xfId="0" applyFont="1" applyBorder="1"/>
    <xf numFmtId="0" fontId="6" fillId="0" borderId="13" xfId="0" applyFont="1" applyBorder="1" applyAlignment="1">
      <alignment vertical="center"/>
    </xf>
    <xf numFmtId="0" fontId="6" fillId="0" borderId="0" xfId="0" applyFont="1"/>
    <xf numFmtId="0" fontId="6" fillId="0" borderId="25" xfId="0" applyFont="1" applyBorder="1"/>
    <xf numFmtId="0" fontId="6" fillId="0" borderId="8" xfId="0" applyFont="1" applyBorder="1" applyAlignment="1">
      <alignment vertical="center"/>
    </xf>
    <xf numFmtId="0" fontId="6" fillId="0" borderId="28" xfId="0" applyFont="1" applyBorder="1" applyAlignment="1">
      <alignment horizontal="center" vertical="center"/>
    </xf>
    <xf numFmtId="0" fontId="6" fillId="0" borderId="42" xfId="0" applyFont="1" applyBorder="1" applyAlignment="1">
      <alignment horizontal="center"/>
    </xf>
    <xf numFmtId="0" fontId="17" fillId="0" borderId="0" xfId="0" applyFont="1"/>
    <xf numFmtId="1" fontId="6" fillId="7" borderId="1" xfId="0" applyNumberFormat="1" applyFont="1" applyFill="1" applyBorder="1" applyAlignment="1">
      <alignment horizontal="center" vertical="center" wrapText="1"/>
    </xf>
    <xf numFmtId="0" fontId="0" fillId="0" borderId="8" xfId="0" applyBorder="1" applyAlignment="1">
      <alignment vertical="center"/>
    </xf>
    <xf numFmtId="0" fontId="6" fillId="0" borderId="6" xfId="0" applyFont="1" applyBorder="1" applyAlignment="1">
      <alignment horizontal="center" vertical="center"/>
    </xf>
    <xf numFmtId="0" fontId="19" fillId="13" borderId="9" xfId="0" applyFont="1" applyFill="1" applyBorder="1" applyAlignment="1">
      <alignment horizontal="center" vertical="center" wrapText="1"/>
    </xf>
    <xf numFmtId="0" fontId="19" fillId="0" borderId="8" xfId="0" applyFont="1" applyBorder="1" applyAlignment="1">
      <alignment vertical="center"/>
    </xf>
    <xf numFmtId="10" fontId="17" fillId="4" borderId="1" xfId="0" applyNumberFormat="1" applyFont="1" applyFill="1" applyBorder="1" applyAlignment="1">
      <alignment horizontal="center"/>
    </xf>
    <xf numFmtId="0" fontId="14" fillId="9" borderId="8" xfId="0" applyFont="1" applyFill="1" applyBorder="1" applyAlignment="1">
      <alignment horizontal="center"/>
    </xf>
    <xf numFmtId="0" fontId="0" fillId="9" borderId="8" xfId="0" applyFill="1" applyBorder="1"/>
    <xf numFmtId="0" fontId="0" fillId="9" borderId="6" xfId="0" applyFill="1" applyBorder="1"/>
    <xf numFmtId="0" fontId="6" fillId="0" borderId="35" xfId="0" applyFont="1" applyBorder="1" applyAlignment="1">
      <alignment horizontal="center" vertical="center"/>
    </xf>
    <xf numFmtId="0" fontId="1" fillId="14" borderId="2" xfId="0" applyFont="1" applyFill="1" applyBorder="1" applyAlignment="1">
      <alignment horizontal="center"/>
    </xf>
    <xf numFmtId="0" fontId="6" fillId="14" borderId="8" xfId="0" applyFont="1" applyFill="1" applyBorder="1" applyAlignment="1">
      <alignment horizontal="center"/>
    </xf>
    <xf numFmtId="164" fontId="6" fillId="14" borderId="8" xfId="0" applyNumberFormat="1" applyFont="1" applyFill="1" applyBorder="1" applyAlignment="1">
      <alignment horizontal="center" vertical="center"/>
    </xf>
    <xf numFmtId="10" fontId="6" fillId="14" borderId="8" xfId="0" applyNumberFormat="1" applyFont="1" applyFill="1" applyBorder="1" applyAlignment="1">
      <alignment horizontal="center" vertical="center" wrapText="1"/>
    </xf>
    <xf numFmtId="1" fontId="6" fillId="14" borderId="8" xfId="0" applyNumberFormat="1" applyFont="1" applyFill="1" applyBorder="1" applyAlignment="1">
      <alignment horizontal="center" vertical="center" wrapText="1"/>
    </xf>
    <xf numFmtId="10" fontId="6" fillId="14" borderId="8" xfId="0" applyNumberFormat="1" applyFont="1" applyFill="1" applyBorder="1" applyAlignment="1">
      <alignment horizontal="center"/>
    </xf>
    <xf numFmtId="10" fontId="6" fillId="14" borderId="1" xfId="0" applyNumberFormat="1" applyFont="1" applyFill="1" applyBorder="1" applyAlignment="1">
      <alignment horizontal="center"/>
    </xf>
    <xf numFmtId="0" fontId="6" fillId="7" borderId="9" xfId="0" applyFont="1" applyFill="1" applyBorder="1" applyAlignment="1">
      <alignment horizontal="center" wrapText="1"/>
    </xf>
    <xf numFmtId="21" fontId="7" fillId="14" borderId="8" xfId="0" applyNumberFormat="1" applyFont="1" applyFill="1" applyBorder="1" applyAlignment="1">
      <alignment horizontal="center"/>
    </xf>
    <xf numFmtId="3" fontId="6" fillId="14" borderId="8" xfId="0" applyNumberFormat="1" applyFont="1" applyFill="1" applyBorder="1" applyAlignment="1">
      <alignment horizontal="center"/>
    </xf>
    <xf numFmtId="0" fontId="6" fillId="0" borderId="20" xfId="0" applyFont="1" applyBorder="1" applyAlignment="1">
      <alignment horizontal="center"/>
    </xf>
    <xf numFmtId="3" fontId="6" fillId="0" borderId="43" xfId="0" applyNumberFormat="1" applyFont="1" applyBorder="1" applyAlignment="1">
      <alignment horizontal="center" vertical="center"/>
    </xf>
    <xf numFmtId="3" fontId="7" fillId="0" borderId="35" xfId="0" applyNumberFormat="1" applyFont="1" applyBorder="1" applyAlignment="1">
      <alignment horizontal="center"/>
    </xf>
    <xf numFmtId="164" fontId="6" fillId="0" borderId="28" xfId="0" applyNumberFormat="1" applyFont="1" applyBorder="1" applyAlignment="1">
      <alignment horizontal="center" vertical="center"/>
    </xf>
    <xf numFmtId="10" fontId="6" fillId="0" borderId="28" xfId="0" applyNumberFormat="1" applyFont="1" applyBorder="1" applyAlignment="1">
      <alignment horizontal="center" vertical="center" wrapText="1"/>
    </xf>
    <xf numFmtId="0" fontId="20" fillId="0" borderId="0" xfId="1"/>
    <xf numFmtId="0" fontId="0" fillId="14" borderId="1" xfId="0" applyFill="1" applyBorder="1" applyAlignment="1">
      <alignment horizontal="center"/>
    </xf>
    <xf numFmtId="0" fontId="6" fillId="0" borderId="2" xfId="0" applyFont="1" applyBorder="1"/>
    <xf numFmtId="0" fontId="17" fillId="6" borderId="13" xfId="0" applyFont="1" applyFill="1" applyBorder="1" applyAlignment="1">
      <alignment horizontal="left" vertical="center"/>
    </xf>
    <xf numFmtId="0" fontId="17" fillId="6" borderId="38" xfId="0" applyFont="1" applyFill="1" applyBorder="1"/>
    <xf numFmtId="0" fontId="17" fillId="3" borderId="13" xfId="0" applyFont="1" applyFill="1" applyBorder="1"/>
    <xf numFmtId="0" fontId="17" fillId="4" borderId="39" xfId="0" applyFont="1" applyFill="1" applyBorder="1"/>
    <xf numFmtId="10" fontId="6" fillId="0" borderId="24" xfId="0" applyNumberFormat="1" applyFont="1" applyBorder="1" applyAlignment="1">
      <alignment horizontal="center" vertical="center" wrapText="1"/>
    </xf>
    <xf numFmtId="0" fontId="6" fillId="0" borderId="24" xfId="0" applyFont="1" applyBorder="1" applyAlignment="1">
      <alignment horizontal="center" vertical="center" wrapText="1"/>
    </xf>
    <xf numFmtId="0" fontId="17" fillId="6" borderId="23" xfId="0" applyFont="1" applyFill="1" applyBorder="1" applyAlignment="1">
      <alignment vertical="center"/>
    </xf>
    <xf numFmtId="0" fontId="6" fillId="0" borderId="39" xfId="0" applyFont="1" applyBorder="1" applyAlignment="1">
      <alignment vertical="center"/>
    </xf>
    <xf numFmtId="0" fontId="6" fillId="0" borderId="24" xfId="0" applyFont="1" applyBorder="1" applyAlignment="1">
      <alignment vertical="center"/>
    </xf>
    <xf numFmtId="0" fontId="6" fillId="0" borderId="23" xfId="0" applyFont="1" applyBorder="1" applyAlignment="1">
      <alignment horizontal="center" vertical="center"/>
    </xf>
    <xf numFmtId="0" fontId="6" fillId="0" borderId="39" xfId="0" applyFont="1" applyBorder="1" applyAlignment="1">
      <alignment horizontal="center" vertical="center"/>
    </xf>
    <xf numFmtId="0" fontId="6" fillId="14" borderId="23" xfId="0" applyFont="1" applyFill="1" applyBorder="1" applyAlignment="1">
      <alignment horizontal="center"/>
    </xf>
    <xf numFmtId="0" fontId="6" fillId="7" borderId="23" xfId="0" applyFont="1" applyFill="1" applyBorder="1" applyAlignment="1">
      <alignment horizontal="center" wrapText="1"/>
    </xf>
    <xf numFmtId="3" fontId="6" fillId="0" borderId="28" xfId="0" applyNumberFormat="1" applyFont="1" applyBorder="1" applyAlignment="1">
      <alignment horizontal="center"/>
    </xf>
    <xf numFmtId="3" fontId="6" fillId="14" borderId="7" xfId="0" applyNumberFormat="1" applyFont="1" applyFill="1" applyBorder="1" applyAlignment="1">
      <alignment horizontal="center"/>
    </xf>
    <xf numFmtId="1" fontId="6" fillId="7" borderId="6" xfId="0" applyNumberFormat="1" applyFont="1" applyFill="1" applyBorder="1" applyAlignment="1">
      <alignment horizontal="center" vertical="center" wrapText="1"/>
    </xf>
    <xf numFmtId="0" fontId="0" fillId="0" borderId="8" xfId="0" applyBorder="1" applyAlignment="1">
      <alignment vertical="center" wrapText="1"/>
    </xf>
    <xf numFmtId="46" fontId="16" fillId="14" borderId="8" xfId="0" applyNumberFormat="1" applyFont="1" applyFill="1" applyBorder="1" applyAlignment="1">
      <alignment horizontal="center"/>
    </xf>
    <xf numFmtId="0" fontId="1" fillId="0" borderId="44" xfId="0" applyFont="1" applyBorder="1" applyAlignment="1">
      <alignment horizontal="center" wrapText="1"/>
    </xf>
    <xf numFmtId="0" fontId="1" fillId="0" borderId="42" xfId="0" applyFont="1" applyBorder="1" applyAlignment="1">
      <alignment horizontal="center"/>
    </xf>
    <xf numFmtId="0" fontId="2" fillId="0" borderId="45" xfId="0" applyFont="1" applyBorder="1" applyAlignment="1">
      <alignment horizontal="center"/>
    </xf>
    <xf numFmtId="0" fontId="2" fillId="0" borderId="46" xfId="0" applyFont="1" applyBorder="1" applyAlignment="1">
      <alignment horizontal="center"/>
    </xf>
    <xf numFmtId="0" fontId="2" fillId="0" borderId="47" xfId="0" applyFont="1" applyBorder="1" applyAlignment="1">
      <alignment horizontal="center"/>
    </xf>
    <xf numFmtId="0" fontId="2" fillId="0" borderId="48" xfId="0" applyFont="1" applyBorder="1" applyAlignment="1">
      <alignment horizontal="center"/>
    </xf>
    <xf numFmtId="17" fontId="2" fillId="0" borderId="48" xfId="0" applyNumberFormat="1" applyFont="1" applyBorder="1" applyAlignment="1">
      <alignment horizontal="center"/>
    </xf>
    <xf numFmtId="17" fontId="2" fillId="0" borderId="49" xfId="0" applyNumberFormat="1" applyFont="1" applyBorder="1" applyAlignment="1">
      <alignment horizontal="center"/>
    </xf>
    <xf numFmtId="0" fontId="6" fillId="0" borderId="34" xfId="0" applyFont="1" applyBorder="1"/>
    <xf numFmtId="0" fontId="6" fillId="0" borderId="29" xfId="0" applyFont="1" applyBorder="1"/>
    <xf numFmtId="0" fontId="6" fillId="0" borderId="40" xfId="0" applyFont="1" applyBorder="1" applyAlignment="1">
      <alignment horizontal="center"/>
    </xf>
    <xf numFmtId="0" fontId="6" fillId="0" borderId="29" xfId="0" applyFont="1" applyBorder="1" applyAlignment="1">
      <alignment horizontal="center"/>
    </xf>
    <xf numFmtId="0" fontId="6" fillId="6" borderId="9" xfId="0" applyFont="1" applyFill="1" applyBorder="1"/>
    <xf numFmtId="0" fontId="6" fillId="9" borderId="9" xfId="0" applyFont="1" applyFill="1" applyBorder="1" applyAlignment="1">
      <alignment horizontal="center"/>
    </xf>
    <xf numFmtId="10" fontId="17" fillId="14" borderId="8" xfId="0" applyNumberFormat="1" applyFont="1" applyFill="1" applyBorder="1" applyAlignment="1">
      <alignment horizontal="center" vertical="center"/>
    </xf>
    <xf numFmtId="3" fontId="6" fillId="7" borderId="7" xfId="0" applyNumberFormat="1" applyFont="1" applyFill="1" applyBorder="1" applyAlignment="1">
      <alignment horizontal="center"/>
    </xf>
    <xf numFmtId="3" fontId="6" fillId="7" borderId="8" xfId="0" applyNumberFormat="1" applyFont="1" applyFill="1" applyBorder="1" applyAlignment="1">
      <alignment horizontal="center"/>
    </xf>
    <xf numFmtId="3" fontId="6" fillId="14" borderId="6" xfId="0" applyNumberFormat="1" applyFont="1" applyFill="1" applyBorder="1" applyAlignment="1">
      <alignment horizontal="center"/>
    </xf>
    <xf numFmtId="1" fontId="6" fillId="14" borderId="13" xfId="0" applyNumberFormat="1" applyFont="1" applyFill="1" applyBorder="1" applyAlignment="1">
      <alignment horizontal="center"/>
    </xf>
    <xf numFmtId="0" fontId="6" fillId="14" borderId="35" xfId="0" applyFont="1" applyFill="1" applyBorder="1" applyAlignment="1">
      <alignment horizontal="center"/>
    </xf>
    <xf numFmtId="0" fontId="6" fillId="7" borderId="8" xfId="0" applyFont="1" applyFill="1" applyBorder="1" applyAlignment="1">
      <alignment horizontal="center"/>
    </xf>
    <xf numFmtId="21" fontId="6" fillId="0" borderId="28" xfId="0" applyNumberFormat="1" applyFont="1" applyBorder="1" applyAlignment="1">
      <alignment horizontal="center" vertical="center"/>
    </xf>
    <xf numFmtId="1" fontId="6" fillId="7" borderId="8" xfId="0" applyNumberFormat="1" applyFont="1" applyFill="1" applyBorder="1" applyAlignment="1">
      <alignment horizontal="center" vertical="center" wrapText="1"/>
    </xf>
    <xf numFmtId="0" fontId="6" fillId="0" borderId="34" xfId="0" applyFont="1" applyBorder="1" applyAlignment="1">
      <alignment horizontal="center" vertical="center" wrapText="1"/>
    </xf>
    <xf numFmtId="10" fontId="19" fillId="0" borderId="28" xfId="0" applyNumberFormat="1" applyFont="1" applyBorder="1" applyAlignment="1">
      <alignment horizontal="center" vertical="center"/>
    </xf>
    <xf numFmtId="0" fontId="17" fillId="0" borderId="13" xfId="0" applyFont="1" applyBorder="1"/>
    <xf numFmtId="0" fontId="6" fillId="0" borderId="13" xfId="0" applyFont="1" applyBorder="1" applyAlignment="1">
      <alignment wrapText="1"/>
    </xf>
    <xf numFmtId="0" fontId="17" fillId="6" borderId="12" xfId="0" applyFont="1" applyFill="1" applyBorder="1"/>
    <xf numFmtId="0" fontId="17" fillId="0" borderId="12" xfId="0" applyFont="1" applyBorder="1"/>
    <xf numFmtId="0" fontId="6" fillId="0" borderId="24" xfId="0" applyFont="1" applyBorder="1" applyAlignment="1">
      <alignment horizontal="center" wrapText="1"/>
    </xf>
    <xf numFmtId="2" fontId="6" fillId="14" borderId="8" xfId="0" applyNumberFormat="1" applyFont="1" applyFill="1" applyBorder="1" applyAlignment="1">
      <alignment horizontal="center"/>
    </xf>
    <xf numFmtId="2" fontId="6" fillId="0" borderId="8" xfId="0" applyNumberFormat="1" applyFont="1" applyBorder="1" applyAlignment="1">
      <alignment horizontal="center"/>
    </xf>
    <xf numFmtId="0" fontId="6" fillId="0" borderId="23" xfId="0" applyFont="1" applyBorder="1" applyAlignment="1">
      <alignment horizontal="center" vertical="center" wrapText="1"/>
    </xf>
    <xf numFmtId="10" fontId="7" fillId="7" borderId="23" xfId="0" applyNumberFormat="1" applyFont="1" applyFill="1" applyBorder="1" applyAlignment="1">
      <alignment horizontal="center" vertical="center"/>
    </xf>
    <xf numFmtId="10" fontId="7" fillId="7" borderId="6" xfId="0" applyNumberFormat="1" applyFont="1" applyFill="1" applyBorder="1" applyAlignment="1">
      <alignment horizontal="center"/>
    </xf>
    <xf numFmtId="21" fontId="6" fillId="0" borderId="6" xfId="0" applyNumberFormat="1" applyFont="1" applyBorder="1" applyAlignment="1">
      <alignment horizontal="center"/>
    </xf>
    <xf numFmtId="10" fontId="6" fillId="0" borderId="6" xfId="0" applyNumberFormat="1" applyFont="1" applyBorder="1" applyAlignment="1">
      <alignment horizontal="center"/>
    </xf>
    <xf numFmtId="0" fontId="7" fillId="0" borderId="8" xfId="0" applyFont="1" applyBorder="1" applyAlignment="1">
      <alignment horizontal="center" vertical="center" wrapText="1"/>
    </xf>
    <xf numFmtId="0" fontId="21" fillId="0" borderId="0" xfId="0" applyFont="1"/>
    <xf numFmtId="3" fontId="21" fillId="0" borderId="0" xfId="0" applyNumberFormat="1" applyFont="1"/>
    <xf numFmtId="3" fontId="8" fillId="15" borderId="56" xfId="0" applyNumberFormat="1" applyFont="1" applyFill="1" applyBorder="1" applyAlignment="1">
      <alignment horizontal="center"/>
    </xf>
    <xf numFmtId="3" fontId="8" fillId="0" borderId="56" xfId="0" applyNumberFormat="1" applyFont="1" applyBorder="1" applyAlignment="1">
      <alignment horizontal="center"/>
    </xf>
    <xf numFmtId="21" fontId="8" fillId="15" borderId="56" xfId="0" applyNumberFormat="1" applyFont="1" applyFill="1" applyBorder="1" applyAlignment="1">
      <alignment horizontal="center"/>
    </xf>
    <xf numFmtId="0" fontId="0" fillId="0" borderId="1" xfId="0" applyBorder="1" applyAlignment="1">
      <alignment horizontal="center"/>
    </xf>
    <xf numFmtId="0" fontId="22" fillId="0" borderId="0" xfId="0" applyFont="1" applyAlignment="1">
      <alignment horizontal="center"/>
    </xf>
    <xf numFmtId="0" fontId="22" fillId="0" borderId="8" xfId="0" applyFont="1" applyBorder="1" applyAlignment="1">
      <alignment horizontal="center"/>
    </xf>
    <xf numFmtId="21" fontId="8" fillId="15" borderId="57" xfId="0" applyNumberFormat="1" applyFont="1" applyFill="1" applyBorder="1" applyAlignment="1">
      <alignment horizontal="center"/>
    </xf>
    <xf numFmtId="21" fontId="7" fillId="0" borderId="1" xfId="0" applyNumberFormat="1" applyFont="1" applyBorder="1" applyAlignment="1">
      <alignment horizontal="center"/>
    </xf>
    <xf numFmtId="10" fontId="23" fillId="0" borderId="0" xfId="0" applyNumberFormat="1" applyFont="1" applyAlignment="1">
      <alignment horizontal="center" vertical="center"/>
    </xf>
    <xf numFmtId="3" fontId="22" fillId="0" borderId="8" xfId="0" applyNumberFormat="1" applyFont="1" applyBorder="1" applyAlignment="1">
      <alignment horizontal="center"/>
    </xf>
    <xf numFmtId="10" fontId="22" fillId="0" borderId="8" xfId="0" applyNumberFormat="1" applyFont="1" applyBorder="1" applyAlignment="1">
      <alignment horizontal="center"/>
    </xf>
    <xf numFmtId="2" fontId="6" fillId="0" borderId="6" xfId="0" applyNumberFormat="1" applyFont="1" applyBorder="1" applyAlignment="1">
      <alignment horizontal="center"/>
    </xf>
    <xf numFmtId="10" fontId="6" fillId="0" borderId="25" xfId="0" applyNumberFormat="1" applyFont="1" applyBorder="1" applyAlignment="1">
      <alignment horizontal="center"/>
    </xf>
    <xf numFmtId="0" fontId="0" fillId="0" borderId="25" xfId="0" applyBorder="1" applyAlignment="1">
      <alignment horizontal="center"/>
    </xf>
    <xf numFmtId="1" fontId="6" fillId="0" borderId="1" xfId="0" applyNumberFormat="1" applyFont="1" applyBorder="1" applyAlignment="1">
      <alignment horizontal="center" vertical="center" wrapText="1"/>
    </xf>
    <xf numFmtId="10" fontId="19" fillId="0" borderId="12" xfId="0" applyNumberFormat="1" applyFont="1" applyBorder="1" applyAlignment="1">
      <alignment horizontal="center" vertical="center"/>
    </xf>
    <xf numFmtId="10" fontId="23" fillId="0" borderId="6" xfId="0" applyNumberFormat="1" applyFont="1" applyBorder="1" applyAlignment="1">
      <alignment horizontal="center"/>
    </xf>
    <xf numFmtId="21" fontId="23" fillId="15" borderId="6" xfId="0" applyNumberFormat="1" applyFont="1" applyFill="1" applyBorder="1" applyAlignment="1">
      <alignment horizontal="center"/>
    </xf>
    <xf numFmtId="0" fontId="22" fillId="0" borderId="6" xfId="0" applyFont="1" applyBorder="1" applyAlignment="1">
      <alignment horizontal="center"/>
    </xf>
    <xf numFmtId="10" fontId="23" fillId="0" borderId="58" xfId="0" applyNumberFormat="1" applyFont="1" applyBorder="1" applyAlignment="1">
      <alignment horizontal="center"/>
    </xf>
    <xf numFmtId="21" fontId="23" fillId="0" borderId="59" xfId="0" applyNumberFormat="1" applyFont="1" applyBorder="1" applyAlignment="1">
      <alignment horizontal="center"/>
    </xf>
    <xf numFmtId="0" fontId="22" fillId="0" borderId="28" xfId="0" applyFont="1" applyBorder="1" applyAlignment="1">
      <alignment horizontal="center"/>
    </xf>
    <xf numFmtId="10" fontId="6" fillId="0" borderId="29" xfId="0" applyNumberFormat="1" applyFont="1" applyBorder="1" applyAlignment="1">
      <alignment horizontal="center" vertical="center" wrapText="1"/>
    </xf>
    <xf numFmtId="10" fontId="6" fillId="0" borderId="37" xfId="0" applyNumberFormat="1" applyFont="1" applyBorder="1" applyAlignment="1">
      <alignment horizontal="center" vertical="center" wrapText="1"/>
    </xf>
    <xf numFmtId="10" fontId="15" fillId="0" borderId="0" xfId="0" applyNumberFormat="1" applyFont="1" applyAlignment="1">
      <alignment horizontal="left"/>
    </xf>
    <xf numFmtId="3" fontId="6" fillId="7" borderId="0" xfId="0" applyNumberFormat="1" applyFont="1" applyFill="1" applyAlignment="1">
      <alignment horizontal="center"/>
    </xf>
    <xf numFmtId="0" fontId="0" fillId="0" borderId="8" xfId="0" applyBorder="1"/>
    <xf numFmtId="17" fontId="25" fillId="0" borderId="8" xfId="0" applyNumberFormat="1" applyFont="1" applyBorder="1"/>
    <xf numFmtId="0" fontId="1" fillId="13" borderId="8" xfId="0" applyFont="1" applyFill="1" applyBorder="1" applyAlignment="1">
      <alignment horizontal="center"/>
    </xf>
    <xf numFmtId="0" fontId="1" fillId="16" borderId="8" xfId="0" applyFont="1" applyFill="1" applyBorder="1" applyAlignment="1">
      <alignment horizontal="center"/>
    </xf>
    <xf numFmtId="0" fontId="1" fillId="8" borderId="2" xfId="0" applyFont="1" applyFill="1" applyBorder="1" applyAlignment="1">
      <alignment horizontal="center"/>
    </xf>
    <xf numFmtId="0" fontId="1" fillId="8" borderId="1" xfId="0" applyFont="1" applyFill="1" applyBorder="1" applyAlignment="1">
      <alignment horizontal="center" wrapText="1"/>
    </xf>
    <xf numFmtId="0" fontId="29" fillId="0" borderId="8" xfId="0" applyFont="1" applyBorder="1"/>
    <xf numFmtId="0" fontId="26" fillId="0" borderId="28" xfId="0" applyFont="1" applyBorder="1"/>
    <xf numFmtId="0" fontId="26" fillId="0" borderId="8" xfId="0" applyFont="1" applyBorder="1"/>
    <xf numFmtId="0" fontId="29" fillId="0" borderId="1" xfId="0" applyFont="1" applyBorder="1"/>
    <xf numFmtId="0" fontId="29" fillId="0" borderId="8" xfId="0" applyFont="1" applyBorder="1" applyAlignment="1">
      <alignment vertical="center"/>
    </xf>
    <xf numFmtId="0" fontId="29" fillId="0" borderId="9" xfId="0" applyFont="1" applyBorder="1"/>
    <xf numFmtId="0" fontId="26" fillId="0" borderId="11" xfId="0" applyFont="1" applyBorder="1"/>
    <xf numFmtId="0" fontId="26" fillId="0" borderId="13" xfId="0" applyFont="1" applyBorder="1"/>
    <xf numFmtId="0" fontId="26" fillId="0" borderId="13" xfId="0" applyFont="1" applyBorder="1" applyAlignment="1">
      <alignment wrapText="1"/>
    </xf>
    <xf numFmtId="0" fontId="26" fillId="0" borderId="38" xfId="0" applyFont="1" applyBorder="1"/>
    <xf numFmtId="0" fontId="26" fillId="0" borderId="35" xfId="0" applyFont="1" applyBorder="1"/>
    <xf numFmtId="0" fontId="30" fillId="0" borderId="0" xfId="1" applyFont="1"/>
    <xf numFmtId="17" fontId="2" fillId="8" borderId="8" xfId="0" applyNumberFormat="1" applyFont="1" applyFill="1" applyBorder="1" applyAlignment="1">
      <alignment horizontal="center"/>
    </xf>
    <xf numFmtId="3" fontId="0" fillId="0" borderId="8" xfId="0" applyNumberFormat="1" applyBorder="1"/>
    <xf numFmtId="3" fontId="6" fillId="0" borderId="8" xfId="0" applyNumberFormat="1" applyFont="1" applyBorder="1" applyAlignment="1">
      <alignment horizontal="center" vertical="center"/>
    </xf>
    <xf numFmtId="3" fontId="7" fillId="0" borderId="8" xfId="0" applyNumberFormat="1" applyFont="1" applyBorder="1" applyAlignment="1">
      <alignment horizontal="center"/>
    </xf>
    <xf numFmtId="2" fontId="0" fillId="0" borderId="8" xfId="0" applyNumberFormat="1" applyBorder="1"/>
    <xf numFmtId="0" fontId="0" fillId="0" borderId="8" xfId="0" applyBorder="1" applyAlignment="1">
      <alignment wrapText="1"/>
    </xf>
    <xf numFmtId="3" fontId="21" fillId="0" borderId="8" xfId="0" applyNumberFormat="1" applyFont="1" applyBorder="1"/>
    <xf numFmtId="17" fontId="2" fillId="8" borderId="38" xfId="0" applyNumberFormat="1" applyFont="1" applyFill="1" applyBorder="1" applyAlignment="1">
      <alignment horizontal="center"/>
    </xf>
    <xf numFmtId="3" fontId="27" fillId="0" borderId="6" xfId="0" applyNumberFormat="1" applyFont="1" applyBorder="1" applyAlignment="1">
      <alignment horizontal="center"/>
    </xf>
    <xf numFmtId="0" fontId="28" fillId="0" borderId="6" xfId="0" applyFont="1" applyBorder="1" applyAlignment="1">
      <alignment horizontal="center"/>
    </xf>
    <xf numFmtId="21" fontId="27" fillId="0" borderId="6" xfId="0" applyNumberFormat="1" applyFont="1" applyBorder="1" applyAlignment="1">
      <alignment horizontal="center"/>
    </xf>
    <xf numFmtId="10" fontId="27" fillId="0" borderId="6" xfId="0" applyNumberFormat="1" applyFont="1" applyBorder="1" applyAlignment="1">
      <alignment horizontal="center" vertical="center"/>
    </xf>
    <xf numFmtId="3" fontId="28" fillId="0" borderId="6" xfId="0" applyNumberFormat="1" applyFont="1" applyBorder="1" applyAlignment="1">
      <alignment horizontal="center"/>
    </xf>
    <xf numFmtId="0" fontId="26" fillId="0" borderId="6" xfId="0" applyFont="1" applyBorder="1" applyAlignment="1">
      <alignment horizontal="center"/>
    </xf>
    <xf numFmtId="0" fontId="26" fillId="0" borderId="14" xfId="0" applyFont="1" applyBorder="1" applyAlignment="1">
      <alignment horizontal="center"/>
    </xf>
    <xf numFmtId="1" fontId="26" fillId="0" borderId="6" xfId="0" applyNumberFormat="1" applyFont="1" applyBorder="1" applyAlignment="1">
      <alignment horizontal="center"/>
    </xf>
    <xf numFmtId="1" fontId="26" fillId="0" borderId="6" xfId="0" applyNumberFormat="1" applyFont="1" applyBorder="1" applyAlignment="1">
      <alignment horizontal="center" vertical="center" wrapText="1"/>
    </xf>
    <xf numFmtId="10" fontId="28" fillId="0" borderId="25" xfId="0" applyNumberFormat="1" applyFont="1" applyBorder="1" applyAlignment="1">
      <alignment horizontal="center"/>
    </xf>
    <xf numFmtId="10" fontId="28" fillId="0" borderId="6" xfId="0" applyNumberFormat="1" applyFont="1" applyBorder="1" applyAlignment="1">
      <alignment horizontal="center"/>
    </xf>
    <xf numFmtId="0" fontId="31" fillId="12" borderId="0" xfId="0" applyFont="1" applyFill="1" applyAlignment="1">
      <alignment horizontal="center" vertical="center" wrapText="1"/>
    </xf>
    <xf numFmtId="0" fontId="31" fillId="0" borderId="0" xfId="0" applyFont="1" applyAlignment="1">
      <alignment horizontal="center" wrapText="1"/>
    </xf>
    <xf numFmtId="0" fontId="31" fillId="0" borderId="0" xfId="0" applyFont="1" applyAlignment="1">
      <alignment horizontal="center" vertical="center" wrapText="1"/>
    </xf>
    <xf numFmtId="0" fontId="26" fillId="0" borderId="0" xfId="0" applyFont="1" applyAlignment="1">
      <alignment vertical="center"/>
    </xf>
    <xf numFmtId="0" fontId="26" fillId="0" borderId="17" xfId="0" applyFont="1" applyBorder="1" applyAlignment="1">
      <alignment horizontal="center" vertical="center" wrapText="1"/>
    </xf>
    <xf numFmtId="0" fontId="29" fillId="0" borderId="14" xfId="0" applyFont="1" applyBorder="1"/>
    <xf numFmtId="0" fontId="26" fillId="0" borderId="17" xfId="0" applyFont="1" applyBorder="1" applyAlignment="1">
      <alignment vertical="center"/>
    </xf>
    <xf numFmtId="3" fontId="28" fillId="0" borderId="14" xfId="0" applyNumberFormat="1" applyFont="1" applyBorder="1" applyAlignment="1">
      <alignment horizontal="center"/>
    </xf>
    <xf numFmtId="17" fontId="32" fillId="0" borderId="63" xfId="0" applyNumberFormat="1" applyFont="1" applyBorder="1" applyAlignment="1">
      <alignment horizontal="center" readingOrder="1"/>
    </xf>
    <xf numFmtId="0" fontId="32" fillId="0" borderId="64" xfId="0" applyFont="1" applyBorder="1" applyAlignment="1">
      <alignment horizontal="center" readingOrder="1"/>
    </xf>
    <xf numFmtId="0" fontId="32" fillId="0" borderId="65" xfId="0" applyFont="1" applyBorder="1" applyAlignment="1">
      <alignment horizontal="center" readingOrder="1"/>
    </xf>
    <xf numFmtId="0" fontId="32" fillId="17" borderId="65" xfId="0" applyFont="1" applyFill="1" applyBorder="1" applyAlignment="1">
      <alignment horizontal="center" readingOrder="1"/>
    </xf>
    <xf numFmtId="0" fontId="32" fillId="0" borderId="64" xfId="0" quotePrefix="1" applyFont="1" applyBorder="1" applyAlignment="1">
      <alignment horizontal="center" readingOrder="1"/>
    </xf>
    <xf numFmtId="0" fontId="32" fillId="0" borderId="65" xfId="0" quotePrefix="1" applyFont="1" applyBorder="1" applyAlignment="1">
      <alignment horizontal="center" readingOrder="1"/>
    </xf>
    <xf numFmtId="0" fontId="33" fillId="17" borderId="63" xfId="0" applyFont="1" applyFill="1" applyBorder="1" applyAlignment="1">
      <alignment horizontal="center" readingOrder="1"/>
    </xf>
    <xf numFmtId="0" fontId="33" fillId="17" borderId="64" xfId="0" applyFont="1" applyFill="1" applyBorder="1" applyAlignment="1">
      <alignment horizontal="center" readingOrder="1"/>
    </xf>
    <xf numFmtId="0" fontId="33" fillId="18" borderId="63" xfId="0" applyFont="1" applyFill="1" applyBorder="1" applyAlignment="1">
      <alignment horizontal="center" readingOrder="1"/>
    </xf>
    <xf numFmtId="0" fontId="32" fillId="0" borderId="63" xfId="0" applyFont="1" applyBorder="1" applyAlignment="1">
      <alignment horizontal="center" readingOrder="1"/>
    </xf>
    <xf numFmtId="0" fontId="32" fillId="0" borderId="66" xfId="0" applyFont="1" applyBorder="1" applyAlignment="1">
      <alignment horizontal="center" readingOrder="1"/>
    </xf>
    <xf numFmtId="0" fontId="32" fillId="0" borderId="67" xfId="0" applyFont="1" applyBorder="1" applyAlignment="1">
      <alignment horizontal="center" readingOrder="1"/>
    </xf>
    <xf numFmtId="0" fontId="32" fillId="0" borderId="68" xfId="0" applyFont="1" applyBorder="1" applyAlignment="1">
      <alignment horizontal="center" readingOrder="1"/>
    </xf>
    <xf numFmtId="0" fontId="33" fillId="0" borderId="60" xfId="0" applyFont="1" applyBorder="1" applyAlignment="1">
      <alignment horizontal="center" readingOrder="1"/>
    </xf>
    <xf numFmtId="0" fontId="33" fillId="0" borderId="61" xfId="0" applyFont="1" applyBorder="1" applyAlignment="1">
      <alignment horizontal="center" readingOrder="1"/>
    </xf>
    <xf numFmtId="0" fontId="33" fillId="0" borderId="62" xfId="0" applyFont="1" applyBorder="1" applyAlignment="1">
      <alignment horizontal="center" readingOrder="1"/>
    </xf>
    <xf numFmtId="0" fontId="0" fillId="0" borderId="0" xfId="0" applyAlignment="1">
      <alignment horizontal="center"/>
    </xf>
    <xf numFmtId="3" fontId="32" fillId="0" borderId="64" xfId="0" applyNumberFormat="1" applyFont="1" applyBorder="1" applyAlignment="1">
      <alignment horizontal="center" readingOrder="1"/>
    </xf>
    <xf numFmtId="3" fontId="32" fillId="0" borderId="65" xfId="0" applyNumberFormat="1" applyFont="1" applyBorder="1" applyAlignment="1">
      <alignment horizontal="center" readingOrder="1"/>
    </xf>
    <xf numFmtId="3" fontId="33" fillId="18" borderId="64" xfId="0" applyNumberFormat="1" applyFont="1" applyFill="1" applyBorder="1" applyAlignment="1">
      <alignment horizontal="center" readingOrder="1"/>
    </xf>
    <xf numFmtId="3" fontId="33" fillId="18" borderId="65" xfId="0" applyNumberFormat="1" applyFont="1" applyFill="1" applyBorder="1" applyAlignment="1">
      <alignment horizontal="center" readingOrder="1"/>
    </xf>
    <xf numFmtId="3" fontId="33" fillId="17" borderId="64" xfId="0" applyNumberFormat="1" applyFont="1" applyFill="1" applyBorder="1" applyAlignment="1">
      <alignment horizontal="center" readingOrder="1"/>
    </xf>
    <xf numFmtId="0" fontId="33" fillId="0" borderId="8" xfId="0" applyFont="1" applyBorder="1" applyAlignment="1">
      <alignment horizontal="center" readingOrder="1"/>
    </xf>
    <xf numFmtId="0" fontId="32" fillId="0" borderId="8" xfId="0" applyFont="1" applyBorder="1" applyAlignment="1">
      <alignment horizontal="center" readingOrder="1"/>
    </xf>
    <xf numFmtId="3" fontId="32" fillId="0" borderId="8" xfId="0" applyNumberFormat="1" applyFont="1" applyBorder="1" applyAlignment="1">
      <alignment horizontal="center" readingOrder="1"/>
    </xf>
    <xf numFmtId="0" fontId="33" fillId="0" borderId="6" xfId="0" applyFont="1" applyBorder="1" applyAlignment="1">
      <alignment horizontal="center" readingOrder="1"/>
    </xf>
    <xf numFmtId="0" fontId="33" fillId="0" borderId="1" xfId="0" applyFont="1" applyBorder="1" applyAlignment="1">
      <alignment horizontal="center" readingOrder="1"/>
    </xf>
    <xf numFmtId="0" fontId="33" fillId="0" borderId="1" xfId="0" applyFont="1" applyBorder="1" applyAlignment="1">
      <alignment horizontal="center" wrapText="1" readingOrder="1"/>
    </xf>
    <xf numFmtId="3" fontId="33" fillId="0" borderId="8" xfId="0" applyNumberFormat="1" applyFont="1" applyBorder="1" applyAlignment="1">
      <alignment horizontal="center" readingOrder="1"/>
    </xf>
    <xf numFmtId="10" fontId="6" fillId="12" borderId="25" xfId="0" applyNumberFormat="1" applyFont="1" applyFill="1" applyBorder="1" applyAlignment="1">
      <alignment horizontal="center" vertical="center"/>
    </xf>
    <xf numFmtId="0" fontId="34" fillId="19" borderId="69" xfId="0" applyFont="1" applyFill="1" applyBorder="1" applyAlignment="1">
      <alignment horizontal="center" vertical="center" wrapText="1"/>
    </xf>
    <xf numFmtId="0" fontId="35" fillId="19" borderId="71" xfId="0" applyFont="1" applyFill="1" applyBorder="1" applyAlignment="1">
      <alignment horizontal="center" vertical="center" wrapText="1"/>
    </xf>
    <xf numFmtId="0" fontId="34" fillId="19" borderId="71" xfId="0" applyFont="1" applyFill="1" applyBorder="1" applyAlignment="1">
      <alignment horizontal="center" vertical="center" wrapText="1"/>
    </xf>
    <xf numFmtId="0" fontId="36" fillId="0" borderId="72" xfId="0" applyFont="1" applyBorder="1" applyAlignment="1">
      <alignment horizontal="center" vertical="center" wrapText="1"/>
    </xf>
    <xf numFmtId="9" fontId="6" fillId="0" borderId="6" xfId="0" applyNumberFormat="1" applyFont="1" applyBorder="1" applyAlignment="1">
      <alignment horizontal="center"/>
    </xf>
    <xf numFmtId="1" fontId="6" fillId="4" borderId="6" xfId="0" applyNumberFormat="1" applyFont="1" applyFill="1" applyBorder="1" applyAlignment="1">
      <alignment horizontal="center"/>
    </xf>
    <xf numFmtId="1" fontId="6" fillId="7" borderId="25" xfId="0" applyNumberFormat="1" applyFont="1" applyFill="1" applyBorder="1" applyAlignment="1">
      <alignment horizontal="center" vertical="center" wrapText="1"/>
    </xf>
    <xf numFmtId="10" fontId="6" fillId="0" borderId="25" xfId="0" applyNumberFormat="1" applyFont="1" applyBorder="1" applyAlignment="1">
      <alignment horizontal="center" vertical="center"/>
    </xf>
    <xf numFmtId="10" fontId="6" fillId="12" borderId="6" xfId="0" applyNumberFormat="1" applyFont="1" applyFill="1" applyBorder="1" applyAlignment="1">
      <alignment horizontal="center" vertical="center"/>
    </xf>
    <xf numFmtId="10" fontId="6" fillId="12" borderId="14" xfId="0" applyNumberFormat="1" applyFont="1" applyFill="1" applyBorder="1" applyAlignment="1">
      <alignment horizontal="center" vertical="center"/>
    </xf>
    <xf numFmtId="3" fontId="8" fillId="0" borderId="74" xfId="0" applyNumberFormat="1" applyFont="1" applyBorder="1" applyAlignment="1">
      <alignment horizontal="center"/>
    </xf>
    <xf numFmtId="3" fontId="8" fillId="15" borderId="74" xfId="0" applyNumberFormat="1" applyFont="1" applyFill="1" applyBorder="1" applyAlignment="1">
      <alignment horizontal="center"/>
    </xf>
    <xf numFmtId="21" fontId="8" fillId="15" borderId="74" xfId="0" applyNumberFormat="1" applyFont="1" applyFill="1" applyBorder="1" applyAlignment="1">
      <alignment horizontal="center"/>
    </xf>
    <xf numFmtId="21" fontId="23" fillId="0" borderId="75" xfId="0" applyNumberFormat="1" applyFont="1" applyBorder="1" applyAlignment="1">
      <alignment horizontal="center"/>
    </xf>
    <xf numFmtId="0" fontId="6" fillId="7" borderId="24" xfId="0" applyFont="1" applyFill="1" applyBorder="1" applyAlignment="1">
      <alignment horizontal="center" wrapText="1"/>
    </xf>
    <xf numFmtId="3" fontId="22" fillId="0" borderId="6" xfId="0" applyNumberFormat="1" applyFont="1" applyBorder="1" applyAlignment="1">
      <alignment horizontal="center"/>
    </xf>
    <xf numFmtId="1" fontId="6" fillId="0" borderId="6" xfId="0" applyNumberFormat="1" applyFont="1" applyBorder="1" applyAlignment="1">
      <alignment horizontal="center" vertical="center" wrapText="1"/>
    </xf>
    <xf numFmtId="10" fontId="24" fillId="0" borderId="25" xfId="0" applyNumberFormat="1" applyFont="1" applyBorder="1" applyAlignment="1">
      <alignment horizontal="center"/>
    </xf>
    <xf numFmtId="10" fontId="22" fillId="0" borderId="6" xfId="0" applyNumberFormat="1" applyFont="1" applyBorder="1" applyAlignment="1">
      <alignment horizontal="center"/>
    </xf>
    <xf numFmtId="10" fontId="19" fillId="0" borderId="13" xfId="0" applyNumberFormat="1" applyFont="1" applyBorder="1" applyAlignment="1">
      <alignment horizontal="center" vertical="center"/>
    </xf>
    <xf numFmtId="3" fontId="8" fillId="0" borderId="8" xfId="0" applyNumberFormat="1" applyFont="1" applyBorder="1" applyAlignment="1">
      <alignment horizontal="center"/>
    </xf>
    <xf numFmtId="0" fontId="0" fillId="0" borderId="9" xfId="0" applyBorder="1"/>
    <xf numFmtId="0" fontId="0" fillId="12" borderId="8" xfId="0" applyFill="1" applyBorder="1"/>
    <xf numFmtId="0" fontId="0" fillId="0" borderId="1" xfId="0" applyBorder="1"/>
    <xf numFmtId="3" fontId="22" fillId="0" borderId="14" xfId="0" applyNumberFormat="1" applyFont="1" applyBorder="1" applyAlignment="1">
      <alignment horizontal="center"/>
    </xf>
    <xf numFmtId="3" fontId="22" fillId="12" borderId="6" xfId="0" applyNumberFormat="1" applyFont="1" applyFill="1" applyBorder="1" applyAlignment="1">
      <alignment horizontal="center"/>
    </xf>
    <xf numFmtId="0" fontId="0" fillId="12" borderId="6" xfId="0" applyFill="1" applyBorder="1"/>
    <xf numFmtId="0" fontId="0" fillId="12" borderId="1" xfId="0" applyFill="1" applyBorder="1"/>
    <xf numFmtId="10" fontId="22" fillId="0" borderId="8" xfId="0" applyNumberFormat="1" applyFont="1" applyBorder="1" applyAlignment="1">
      <alignment horizontal="center" vertical="center"/>
    </xf>
    <xf numFmtId="21" fontId="8" fillId="15" borderId="8" xfId="0" applyNumberFormat="1" applyFont="1" applyFill="1" applyBorder="1" applyAlignment="1">
      <alignment horizontal="center"/>
    </xf>
    <xf numFmtId="10" fontId="23" fillId="0" borderId="8" xfId="0" applyNumberFormat="1" applyFont="1" applyBorder="1" applyAlignment="1">
      <alignment horizontal="center" vertical="center"/>
    </xf>
    <xf numFmtId="21" fontId="23" fillId="0" borderId="8" xfId="0" applyNumberFormat="1" applyFont="1" applyBorder="1" applyAlignment="1">
      <alignment horizontal="center"/>
    </xf>
    <xf numFmtId="3" fontId="8" fillId="0" borderId="1" xfId="0" applyNumberFormat="1" applyFont="1" applyBorder="1" applyAlignment="1">
      <alignment horizontal="center"/>
    </xf>
    <xf numFmtId="21" fontId="27" fillId="0" borderId="25" xfId="0" applyNumberFormat="1" applyFont="1" applyBorder="1" applyAlignment="1">
      <alignment horizontal="center"/>
    </xf>
    <xf numFmtId="0" fontId="29" fillId="0" borderId="14" xfId="0" applyFont="1" applyBorder="1" applyAlignment="1">
      <alignment vertical="center"/>
    </xf>
    <xf numFmtId="0" fontId="0" fillId="0" borderId="1" xfId="0" applyBorder="1" applyAlignment="1">
      <alignment wrapText="1"/>
    </xf>
    <xf numFmtId="0" fontId="19" fillId="13" borderId="17" xfId="0" applyFont="1" applyFill="1" applyBorder="1" applyAlignment="1">
      <alignment horizontal="center" vertical="center" wrapText="1"/>
    </xf>
    <xf numFmtId="0" fontId="29" fillId="0" borderId="17" xfId="0" applyFont="1" applyBorder="1" applyAlignment="1">
      <alignment horizontal="left" vertical="center"/>
    </xf>
    <xf numFmtId="0" fontId="26" fillId="0" borderId="1" xfId="0" applyFont="1" applyBorder="1" applyAlignment="1">
      <alignment vertical="center"/>
    </xf>
    <xf numFmtId="3" fontId="21" fillId="0" borderId="1" xfId="0" applyNumberFormat="1" applyFont="1" applyBorder="1"/>
    <xf numFmtId="0" fontId="21" fillId="0" borderId="1" xfId="0" applyFont="1" applyBorder="1"/>
    <xf numFmtId="3" fontId="28" fillId="0" borderId="8" xfId="0" applyNumberFormat="1" applyFont="1" applyBorder="1" applyAlignment="1">
      <alignment horizontal="center"/>
    </xf>
    <xf numFmtId="0" fontId="26" fillId="0" borderId="38" xfId="0" applyFont="1" applyBorder="1" applyAlignment="1">
      <alignment vertical="center"/>
    </xf>
    <xf numFmtId="0" fontId="0" fillId="0" borderId="6" xfId="0" applyBorder="1"/>
    <xf numFmtId="0" fontId="0" fillId="0" borderId="25" xfId="0" applyBorder="1"/>
    <xf numFmtId="0" fontId="0" fillId="0" borderId="14" xfId="0" applyBorder="1"/>
    <xf numFmtId="17" fontId="2" fillId="8" borderId="1" xfId="0" applyNumberFormat="1" applyFont="1" applyFill="1" applyBorder="1" applyAlignment="1">
      <alignment horizontal="center"/>
    </xf>
    <xf numFmtId="0" fontId="28" fillId="0" borderId="8" xfId="0" applyFont="1" applyBorder="1" applyAlignment="1">
      <alignment horizontal="center"/>
    </xf>
    <xf numFmtId="0" fontId="26" fillId="0" borderId="8" xfId="0" applyFont="1" applyBorder="1" applyAlignment="1">
      <alignment horizontal="center"/>
    </xf>
    <xf numFmtId="3" fontId="28" fillId="0" borderId="1" xfId="0" applyNumberFormat="1" applyFont="1" applyBorder="1" applyAlignment="1">
      <alignment horizontal="center"/>
    </xf>
    <xf numFmtId="3" fontId="26" fillId="0" borderId="8" xfId="0" applyNumberFormat="1" applyFont="1" applyBorder="1" applyAlignment="1">
      <alignment horizontal="center" vertical="center" wrapText="1"/>
    </xf>
    <xf numFmtId="0" fontId="26" fillId="0" borderId="1" xfId="0" applyFont="1" applyBorder="1" applyAlignment="1">
      <alignment horizontal="center" vertical="center" wrapText="1"/>
    </xf>
    <xf numFmtId="3" fontId="28" fillId="12" borderId="14" xfId="0" applyNumberFormat="1" applyFont="1" applyFill="1" applyBorder="1" applyAlignment="1">
      <alignment horizontal="center"/>
    </xf>
    <xf numFmtId="0" fontId="29" fillId="0" borderId="35" xfId="0" applyFont="1" applyBorder="1" applyAlignment="1">
      <alignment horizontal="left" vertical="center"/>
    </xf>
    <xf numFmtId="0" fontId="26" fillId="0" borderId="6" xfId="0" applyFont="1" applyBorder="1" applyAlignment="1">
      <alignment vertical="center" wrapText="1"/>
    </xf>
    <xf numFmtId="3" fontId="28" fillId="7" borderId="8" xfId="0" applyNumberFormat="1" applyFont="1" applyFill="1" applyBorder="1" applyAlignment="1">
      <alignment horizontal="center"/>
    </xf>
    <xf numFmtId="0" fontId="26" fillId="0" borderId="6" xfId="0" applyFont="1" applyBorder="1" applyAlignment="1">
      <alignment horizontal="center" vertical="center" wrapText="1"/>
    </xf>
    <xf numFmtId="0" fontId="0" fillId="0" borderId="8" xfId="0" applyBorder="1" applyAlignment="1">
      <alignment horizontal="center" vertical="center"/>
    </xf>
    <xf numFmtId="0" fontId="26" fillId="0" borderId="6" xfId="0" applyFont="1" applyBorder="1" applyAlignment="1">
      <alignment horizontal="center" vertical="center"/>
    </xf>
    <xf numFmtId="0" fontId="26" fillId="0" borderId="6" xfId="0" applyFont="1" applyBorder="1" applyAlignment="1">
      <alignment vertical="center"/>
    </xf>
    <xf numFmtId="3" fontId="26" fillId="0" borderId="28" xfId="0" applyNumberFormat="1" applyFont="1" applyBorder="1" applyAlignment="1">
      <alignment horizontal="center" vertical="center" wrapText="1"/>
    </xf>
    <xf numFmtId="0" fontId="5" fillId="7" borderId="8" xfId="0" applyFont="1" applyFill="1" applyBorder="1" applyAlignment="1">
      <alignment horizontal="center"/>
    </xf>
    <xf numFmtId="0" fontId="1" fillId="12" borderId="8" xfId="0" applyFont="1" applyFill="1" applyBorder="1" applyAlignment="1">
      <alignment horizontal="center"/>
    </xf>
    <xf numFmtId="0" fontId="39" fillId="22" borderId="69" xfId="0" applyFont="1" applyFill="1" applyBorder="1" applyAlignment="1">
      <alignment horizontal="center" vertical="center" wrapText="1"/>
    </xf>
    <xf numFmtId="0" fontId="39" fillId="22" borderId="71" xfId="0" applyFont="1" applyFill="1" applyBorder="1" applyAlignment="1">
      <alignment horizontal="center" vertical="center" wrapText="1"/>
    </xf>
    <xf numFmtId="0" fontId="38" fillId="0" borderId="72" xfId="0" applyFont="1" applyBorder="1" applyAlignment="1">
      <alignment horizontal="center" vertical="center" wrapText="1"/>
    </xf>
    <xf numFmtId="0" fontId="38" fillId="0" borderId="72" xfId="0" applyFont="1" applyBorder="1" applyAlignment="1">
      <alignment horizontal="left" vertical="center" wrapText="1"/>
    </xf>
    <xf numFmtId="14" fontId="37" fillId="0" borderId="72" xfId="0" applyNumberFormat="1" applyFont="1" applyBorder="1" applyAlignment="1">
      <alignment horizontal="center" vertical="center"/>
    </xf>
    <xf numFmtId="0" fontId="29" fillId="0" borderId="6" xfId="0" applyFont="1" applyBorder="1" applyAlignment="1">
      <alignment vertical="center"/>
    </xf>
    <xf numFmtId="0" fontId="26" fillId="0" borderId="2" xfId="0" applyFont="1" applyBorder="1" applyAlignment="1">
      <alignment vertical="center"/>
    </xf>
    <xf numFmtId="0" fontId="26" fillId="0" borderId="9" xfId="0" applyFont="1" applyBorder="1"/>
    <xf numFmtId="0" fontId="40" fillId="0" borderId="72" xfId="0" applyFont="1" applyBorder="1" applyAlignment="1">
      <alignment horizontal="center" vertical="center" wrapText="1"/>
    </xf>
    <xf numFmtId="17" fontId="36" fillId="0" borderId="72" xfId="0" applyNumberFormat="1" applyFont="1" applyBorder="1" applyAlignment="1">
      <alignment horizontal="center" vertical="center" wrapText="1"/>
    </xf>
    <xf numFmtId="17" fontId="40" fillId="0" borderId="72" xfId="0" applyNumberFormat="1" applyFont="1" applyBorder="1" applyAlignment="1">
      <alignment horizontal="center" vertical="center" wrapText="1"/>
    </xf>
    <xf numFmtId="0" fontId="26" fillId="0" borderId="2" xfId="0" applyFont="1" applyBorder="1" applyAlignment="1">
      <alignment vertical="center" wrapText="1"/>
    </xf>
    <xf numFmtId="1" fontId="26" fillId="0" borderId="35" xfId="0" applyNumberFormat="1" applyFont="1" applyBorder="1" applyAlignment="1">
      <alignment horizontal="center" vertical="center" wrapText="1"/>
    </xf>
    <xf numFmtId="0" fontId="28" fillId="0" borderId="2" xfId="0" applyFont="1" applyBorder="1" applyAlignment="1">
      <alignment horizontal="center" vertical="center" wrapText="1"/>
    </xf>
    <xf numFmtId="10" fontId="28" fillId="0" borderId="8" xfId="0" applyNumberFormat="1" applyFont="1" applyBorder="1" applyAlignment="1">
      <alignment horizontal="center"/>
    </xf>
    <xf numFmtId="3" fontId="28" fillId="0" borderId="25" xfId="0" applyNumberFormat="1" applyFont="1" applyBorder="1" applyAlignment="1">
      <alignment horizontal="center"/>
    </xf>
    <xf numFmtId="0" fontId="0" fillId="0" borderId="28" xfId="0" applyBorder="1"/>
    <xf numFmtId="0" fontId="26" fillId="0" borderId="9" xfId="0" applyFont="1" applyBorder="1" applyAlignment="1">
      <alignment horizontal="center"/>
    </xf>
    <xf numFmtId="10" fontId="28" fillId="0" borderId="8" xfId="0" applyNumberFormat="1" applyFont="1" applyBorder="1" applyAlignment="1">
      <alignment horizontal="center" vertical="center"/>
    </xf>
    <xf numFmtId="10" fontId="28" fillId="0" borderId="25" xfId="0" applyNumberFormat="1" applyFont="1" applyBorder="1" applyAlignment="1">
      <alignment horizontal="center" vertical="center"/>
    </xf>
    <xf numFmtId="0" fontId="0" fillId="0" borderId="2" xfId="0" applyBorder="1"/>
    <xf numFmtId="3" fontId="26" fillId="0" borderId="11" xfId="0" applyNumberFormat="1" applyFont="1" applyBorder="1" applyAlignment="1">
      <alignment horizontal="center" vertical="center" wrapText="1"/>
    </xf>
    <xf numFmtId="0" fontId="5" fillId="7" borderId="6" xfId="0" applyFont="1" applyFill="1" applyBorder="1" applyAlignment="1">
      <alignment horizontal="center"/>
    </xf>
    <xf numFmtId="0" fontId="5" fillId="7" borderId="1" xfId="0" applyFont="1" applyFill="1" applyBorder="1" applyAlignment="1">
      <alignment horizontal="center"/>
    </xf>
    <xf numFmtId="0" fontId="0" fillId="0" borderId="9" xfId="0" applyBorder="1" applyAlignment="1">
      <alignment wrapText="1"/>
    </xf>
    <xf numFmtId="0" fontId="39" fillId="22" borderId="70" xfId="0" applyFont="1" applyFill="1" applyBorder="1" applyAlignment="1">
      <alignment horizontal="center" vertical="center" wrapText="1"/>
    </xf>
    <xf numFmtId="0" fontId="37" fillId="0" borderId="0" xfId="0" applyFont="1"/>
    <xf numFmtId="14" fontId="38" fillId="0" borderId="72" xfId="0" applyNumberFormat="1" applyFont="1" applyBorder="1" applyAlignment="1">
      <alignment horizontal="center" vertical="center" wrapText="1"/>
    </xf>
    <xf numFmtId="0" fontId="38" fillId="20" borderId="72" xfId="0" applyFont="1" applyFill="1" applyBorder="1" applyAlignment="1">
      <alignment horizontal="center" vertical="center" wrapText="1"/>
    </xf>
    <xf numFmtId="0" fontId="38" fillId="20" borderId="72" xfId="0" applyFont="1" applyFill="1" applyBorder="1" applyAlignment="1">
      <alignment horizontal="left" vertical="center" wrapText="1"/>
    </xf>
    <xf numFmtId="14" fontId="37" fillId="20" borderId="72" xfId="0" applyNumberFormat="1" applyFont="1" applyFill="1" applyBorder="1" applyAlignment="1">
      <alignment horizontal="center" vertical="center"/>
    </xf>
    <xf numFmtId="0" fontId="37" fillId="21" borderId="0" xfId="0" applyFont="1" applyFill="1"/>
    <xf numFmtId="0" fontId="38" fillId="0" borderId="69" xfId="0" applyFont="1" applyBorder="1" applyAlignment="1">
      <alignment horizontal="center" vertical="center" wrapText="1"/>
    </xf>
    <xf numFmtId="0" fontId="38" fillId="0" borderId="76" xfId="0" applyFont="1" applyBorder="1" applyAlignment="1">
      <alignment horizontal="center" vertical="center" wrapText="1"/>
    </xf>
    <xf numFmtId="0" fontId="38" fillId="0" borderId="77" xfId="0" applyFont="1" applyBorder="1" applyAlignment="1">
      <alignment horizontal="center" vertical="center" wrapText="1"/>
    </xf>
    <xf numFmtId="14" fontId="38" fillId="20" borderId="72" xfId="0" applyNumberFormat="1" applyFont="1" applyFill="1" applyBorder="1" applyAlignment="1">
      <alignment horizontal="center" vertical="center" wrapText="1"/>
    </xf>
    <xf numFmtId="0" fontId="38" fillId="7" borderId="72" xfId="0" applyFont="1" applyFill="1" applyBorder="1" applyAlignment="1">
      <alignment horizontal="left" vertical="center" wrapText="1"/>
    </xf>
    <xf numFmtId="14" fontId="38" fillId="7" borderId="72" xfId="0" applyNumberFormat="1" applyFont="1" applyFill="1" applyBorder="1" applyAlignment="1">
      <alignment horizontal="center" vertical="center" wrapText="1"/>
    </xf>
    <xf numFmtId="0" fontId="38" fillId="7" borderId="72" xfId="0" applyFont="1" applyFill="1" applyBorder="1" applyAlignment="1">
      <alignment horizontal="center" vertical="center" wrapText="1"/>
    </xf>
    <xf numFmtId="0" fontId="38" fillId="0" borderId="0" xfId="0" applyFont="1" applyAlignment="1">
      <alignment horizontal="center" vertical="center"/>
    </xf>
    <xf numFmtId="0" fontId="38" fillId="0" borderId="0" xfId="0" applyFont="1" applyAlignment="1">
      <alignment vertical="center"/>
    </xf>
    <xf numFmtId="0" fontId="38" fillId="0" borderId="0" xfId="0" applyFont="1" applyAlignment="1">
      <alignment horizontal="left" vertical="center"/>
    </xf>
    <xf numFmtId="0" fontId="37" fillId="0" borderId="0" xfId="0" applyFont="1" applyAlignment="1">
      <alignment horizontal="center" vertical="center"/>
    </xf>
    <xf numFmtId="0" fontId="37" fillId="0" borderId="0" xfId="0" applyFont="1" applyAlignment="1">
      <alignment vertical="center"/>
    </xf>
    <xf numFmtId="0" fontId="37" fillId="0" borderId="0" xfId="0" applyFont="1" applyAlignment="1">
      <alignment vertical="center" wrapText="1"/>
    </xf>
    <xf numFmtId="0" fontId="38" fillId="0" borderId="0" xfId="0" applyFont="1" applyAlignment="1">
      <alignment horizontal="center" vertical="center" wrapText="1"/>
    </xf>
    <xf numFmtId="0" fontId="19" fillId="0" borderId="0" xfId="0" applyFont="1" applyAlignment="1"/>
    <xf numFmtId="0" fontId="0" fillId="0" borderId="0" xfId="0" applyAlignment="1"/>
    <xf numFmtId="0" fontId="5" fillId="2" borderId="3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13" xfId="0" applyFont="1" applyFill="1" applyBorder="1" applyAlignment="1">
      <alignment horizontal="center" vertical="center" wrapText="1"/>
    </xf>
    <xf numFmtId="0" fontId="3" fillId="2" borderId="50" xfId="0" applyFont="1" applyFill="1" applyBorder="1" applyAlignment="1">
      <alignment horizontal="center" vertical="center" wrapText="1"/>
    </xf>
    <xf numFmtId="0" fontId="3" fillId="2" borderId="51" xfId="0" applyFont="1" applyFill="1" applyBorder="1" applyAlignment="1">
      <alignment horizontal="center" vertical="center" wrapText="1"/>
    </xf>
    <xf numFmtId="0" fontId="8" fillId="0" borderId="51" xfId="0" applyFont="1" applyBorder="1" applyAlignment="1"/>
    <xf numFmtId="0" fontId="8" fillId="0" borderId="52" xfId="0" applyFont="1" applyBorder="1" applyAlignment="1"/>
    <xf numFmtId="0" fontId="4" fillId="0" borderId="4" xfId="0" applyFont="1" applyBorder="1" applyAlignment="1"/>
    <xf numFmtId="0" fontId="4" fillId="0" borderId="7" xfId="0" applyFont="1" applyBorder="1" applyAlignment="1"/>
    <xf numFmtId="0" fontId="8" fillId="0" borderId="7" xfId="0" applyFont="1" applyBorder="1" applyAlignment="1"/>
    <xf numFmtId="0" fontId="8" fillId="0" borderId="10" xfId="0" applyFont="1" applyBorder="1" applyAlignment="1"/>
    <xf numFmtId="0" fontId="5" fillId="0" borderId="4" xfId="0" applyFont="1" applyBorder="1" applyAlignment="1">
      <alignment horizontal="center"/>
    </xf>
    <xf numFmtId="0" fontId="5" fillId="0" borderId="7" xfId="0" applyFont="1" applyBorder="1" applyAlignment="1">
      <alignment horizontal="center"/>
    </xf>
    <xf numFmtId="0" fontId="5" fillId="0" borderId="4" xfId="0" applyFont="1" applyBorder="1" applyAlignment="1">
      <alignment horizontal="center" wrapText="1"/>
    </xf>
    <xf numFmtId="0" fontId="5" fillId="0" borderId="7" xfId="0" applyFont="1" applyBorder="1" applyAlignment="1">
      <alignment horizontal="center" wrapText="1"/>
    </xf>
    <xf numFmtId="0" fontId="4" fillId="0" borderId="11" xfId="0" applyFont="1" applyBorder="1" applyAlignment="1"/>
    <xf numFmtId="0" fontId="8" fillId="0" borderId="11" xfId="0" applyFont="1" applyBorder="1" applyAlignment="1"/>
    <xf numFmtId="0" fontId="8" fillId="0" borderId="29" xfId="0" applyFont="1" applyBorder="1" applyAlignment="1"/>
    <xf numFmtId="0" fontId="5" fillId="0" borderId="11" xfId="0" applyFont="1" applyBorder="1" applyAlignment="1">
      <alignment horizontal="center"/>
    </xf>
    <xf numFmtId="0" fontId="5" fillId="0" borderId="11" xfId="0" applyFont="1" applyBorder="1" applyAlignment="1">
      <alignment horizontal="center" wrapText="1"/>
    </xf>
    <xf numFmtId="0" fontId="5" fillId="2" borderId="53" xfId="0" applyFont="1" applyFill="1" applyBorder="1" applyAlignment="1">
      <alignment horizontal="center" vertical="center" wrapText="1"/>
    </xf>
    <xf numFmtId="0" fontId="5" fillId="2" borderId="54" xfId="0" applyFont="1" applyFill="1" applyBorder="1" applyAlignment="1">
      <alignment horizontal="center" vertical="center" wrapText="1"/>
    </xf>
    <xf numFmtId="0" fontId="5" fillId="2" borderId="55" xfId="0" applyFont="1" applyFill="1" applyBorder="1" applyAlignment="1">
      <alignment horizontal="center" vertical="center" wrapText="1"/>
    </xf>
    <xf numFmtId="10" fontId="6" fillId="12" borderId="25" xfId="0" applyNumberFormat="1" applyFont="1" applyFill="1" applyBorder="1" applyAlignment="1">
      <alignment horizontal="center" vertical="center"/>
    </xf>
    <xf numFmtId="10" fontId="6" fillId="12" borderId="9" xfId="0" applyNumberFormat="1" applyFont="1" applyFill="1" applyBorder="1" applyAlignment="1">
      <alignment horizontal="center" vertical="center"/>
    </xf>
    <xf numFmtId="10" fontId="6" fillId="12" borderId="14" xfId="0" applyNumberFormat="1" applyFont="1" applyFill="1" applyBorder="1" applyAlignment="1">
      <alignment horizontal="center" vertical="center"/>
    </xf>
    <xf numFmtId="0" fontId="1" fillId="10" borderId="8" xfId="0" applyFont="1" applyFill="1" applyBorder="1" applyAlignment="1">
      <alignment horizontal="center" vertical="center" wrapText="1"/>
    </xf>
    <xf numFmtId="0" fontId="1" fillId="10" borderId="23" xfId="0" applyFont="1" applyFill="1" applyBorder="1" applyAlignment="1">
      <alignment horizontal="center" vertical="center" wrapText="1"/>
    </xf>
    <xf numFmtId="0" fontId="1" fillId="10" borderId="9" xfId="0" applyFont="1" applyFill="1" applyBorder="1" applyAlignment="1">
      <alignment horizontal="center" vertical="center" wrapText="1"/>
    </xf>
    <xf numFmtId="0" fontId="1" fillId="10" borderId="24" xfId="0" applyFont="1" applyFill="1" applyBorder="1" applyAlignment="1">
      <alignment horizontal="center" vertical="center" wrapText="1"/>
    </xf>
    <xf numFmtId="0" fontId="1" fillId="11" borderId="7" xfId="0" applyFont="1" applyFill="1" applyBorder="1" applyAlignment="1">
      <alignment horizontal="center" vertical="center" wrapText="1"/>
    </xf>
    <xf numFmtId="0" fontId="1" fillId="11" borderId="9" xfId="0" applyFont="1" applyFill="1" applyBorder="1" applyAlignment="1">
      <alignment horizontal="center" vertical="center" wrapText="1"/>
    </xf>
    <xf numFmtId="0" fontId="1" fillId="11" borderId="8" xfId="0" applyFont="1" applyFill="1" applyBorder="1" applyAlignment="1">
      <alignment horizontal="center" vertical="center" wrapText="1"/>
    </xf>
    <xf numFmtId="0" fontId="19" fillId="0" borderId="8" xfId="0" applyFont="1" applyBorder="1" applyAlignment="1"/>
    <xf numFmtId="0" fontId="1" fillId="23" borderId="1" xfId="0" applyFont="1" applyFill="1" applyBorder="1" applyAlignment="1">
      <alignment horizontal="center" vertical="center" wrapText="1"/>
    </xf>
    <xf numFmtId="0" fontId="1" fillId="23" borderId="7" xfId="0" applyFont="1" applyFill="1" applyBorder="1" applyAlignment="1">
      <alignment horizontal="center" vertical="center" wrapText="1"/>
    </xf>
    <xf numFmtId="0" fontId="1" fillId="23" borderId="9" xfId="0" applyFont="1" applyFill="1" applyBorder="1" applyAlignment="1">
      <alignment horizontal="center" vertical="center" wrapText="1"/>
    </xf>
    <xf numFmtId="0" fontId="19" fillId="14" borderId="8" xfId="0" applyFont="1" applyFill="1" applyBorder="1" applyAlignment="1">
      <alignment horizontal="center" vertical="center" wrapText="1"/>
    </xf>
    <xf numFmtId="0" fontId="31" fillId="0" borderId="0" xfId="0" applyFont="1" applyAlignment="1">
      <alignment horizontal="center" vertical="center" wrapText="1"/>
    </xf>
    <xf numFmtId="0" fontId="41" fillId="0" borderId="73" xfId="0" applyFont="1" applyBorder="1" applyAlignment="1">
      <alignment horizontal="center" vertical="center" wrapText="1"/>
    </xf>
  </cellXfs>
  <cellStyles count="2">
    <cellStyle name="Hyperlink" xfId="1" xr:uid="{00000000-000B-0000-0000-000008000000}"/>
    <cellStyle name="Normal" xfId="0" builtinId="0"/>
  </cellStyles>
  <dxfs count="0"/>
  <tableStyles count="0" defaultTableStyle="TableStyleMedium2" defaultPivotStyle="PivotStyleLight16"/>
  <colors>
    <mruColors>
      <color rgb="FFD9EAD3"/>
      <color rgb="FFF6DCFA"/>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ocumenttasks/documenttask1.xml><?xml version="1.0" encoding="utf-8"?>
<Tasks xmlns="http://schemas.microsoft.com/office/tasks/2019/documenttasks">
  <Task id="{09ADF109-E74B-45AA-BF97-887AE16F1D9E}">
    <Anchor>
      <Comment id="{7E486BCA-90F2-4382-AAAB-EDC0ED925EB8}"/>
    </Anchor>
    <History>
      <Event time="2024-12-26T15:42:55.42" id="{3ACE9694-6FD1-4BCB-A0C8-705CF32510F0}">
        <Attribution userId="S::mblasi@buenosaires.gob.ar::13f36995-3c4f-4dc1-9f9b-526dde06a67d" userName="Macarena Blasi" userProvider="AD"/>
        <Anchor>
          <Comment id="{7E486BCA-90F2-4382-AAAB-EDC0ED925EB8}"/>
        </Anchor>
        <Create/>
      </Event>
      <Event time="2024-12-26T15:42:55.42" id="{686E22B6-9258-4290-B850-41CE6D473444}">
        <Attribution userId="S::mblasi@buenosaires.gob.ar::13f36995-3c4f-4dc1-9f9b-526dde06a67d" userName="Macarena Blasi" userProvider="AD"/>
        <Anchor>
          <Comment id="{7E486BCA-90F2-4382-AAAB-EDC0ED925EB8}"/>
        </Anchor>
        <Assign userId="S::jacquelinezoedominguez@buenosaires.gob.ar::693f7128-1221-4d60-8ba9-62e330af6f5f" userName="Jacqueline Dominguez" userProvider="AD"/>
      </Event>
      <Event time="2024-12-26T15:42:55.42" id="{6CBDC5DF-2C37-4A58-A479-84A1A344BF2D}">
        <Attribution userId="S::mblasi@buenosaires.gob.ar::13f36995-3c4f-4dc1-9f9b-526dde06a67d" userName="Macarena Blasi" userProvider="AD"/>
        <Anchor>
          <Comment id="{7E486BCA-90F2-4382-AAAB-EDC0ED925EB8}"/>
        </Anchor>
        <SetTitle title="nuevo @Jacqueline Dominguez @Luis Esqueda"/>
      </Event>
    </History>
  </Task>
  <Task id="{B5556B24-1C6D-4864-A062-148E6723816C}">
    <Anchor>
      <Comment id="{F214D632-E629-4ED9-AFC6-576BF5D9DC27}"/>
    </Anchor>
    <History>
      <Event time="2024-12-26T15:30:07.44" id="{62D1FD53-E701-435F-A69F-50FD7BC0AD19}">
        <Attribution userId="S::mblasi@buenosaires.gob.ar::13f36995-3c4f-4dc1-9f9b-526dde06a67d" userName="Macarena Blasi" userProvider="AD"/>
        <Anchor>
          <Comment id="{F214D632-E629-4ED9-AFC6-576BF5D9DC27}"/>
        </Anchor>
        <Create/>
      </Event>
      <Event time="2024-12-26T15:30:07.44" id="{B4C16AB0-B0FB-4A64-80A1-BE15AD86A82B}">
        <Attribution userId="S::mblasi@buenosaires.gob.ar::13f36995-3c4f-4dc1-9f9b-526dde06a67d" userName="Macarena Blasi" userProvider="AD"/>
        <Anchor>
          <Comment id="{F214D632-E629-4ED9-AFC6-576BF5D9DC27}"/>
        </Anchor>
        <Assign userId="S::jacquelinezoedominguez@buenosaires.gob.ar::693f7128-1221-4d60-8ba9-62e330af6f5f" userName="Jacqueline Dominguez" userProvider="AD"/>
      </Event>
      <Event time="2024-12-26T15:30:07.44" id="{64A1A61E-2E1E-4108-B4FE-C0E4BCFD3D86}">
        <Attribution userId="S::mblasi@buenosaires.gob.ar::13f36995-3c4f-4dc1-9f9b-526dde06a67d" userName="Macarena Blasi" userProvider="AD"/>
        <Anchor>
          <Comment id="{F214D632-E629-4ED9-AFC6-576BF5D9DC27}"/>
        </Anchor>
        <SetTitle title="pidanle porfa a Luqui que les pase este nro que lo saca del monitor de canales de BM. Debe estar en 90 y pico pues tuvimos la caída de Meta un par de horas a mediados de diciembre @Jacqueline Dominguez @Luis Esqueda"/>
      </Event>
      <Event time="2025-01-02T14:41:24.32" id="{EA4797B1-FF8F-49DC-A821-3F234E1627CC}">
        <Attribution userId="S::jacquelinezoedominguez@buenosaires.gob.ar::693f7128-1221-4d60-8ba9-62e330af6f5f" userName="Jacqueline Dominguez" userProvider="AD"/>
        <Anchor>
          <Comment id="{CDAE7005-F327-4AEE-9130-24F41833C50E}"/>
        </Anchor>
        <UnassignAll/>
      </Event>
      <Event time="2025-01-02T14:41:24.32" id="{CB79EB29-38A9-4019-BE11-FC009440F695}">
        <Attribution userId="S::jacquelinezoedominguez@buenosaires.gob.ar::693f7128-1221-4d60-8ba9-62e330af6f5f" userName="Jacqueline Dominguez" userProvider="AD"/>
        <Anchor>
          <Comment id="{CDAE7005-F327-4AEE-9130-24F41833C50E}"/>
        </Anchor>
        <Assign userId="S::mblasi@buenosaires.gob.ar::13f36995-3c4f-4dc1-9f9b-526dde06a67d" userName="Macarena Blasi" userProvider="AD"/>
      </Event>
    </History>
  </Task>
  <Task id="{0C2D8525-E94B-441A-93AB-C5621999E2EB}">
    <Anchor>
      <Comment id="{C78E3C3B-A9BE-4CA3-98F6-B50FDB4006F0}"/>
    </Anchor>
    <History>
      <Event time="2024-12-26T15:43:03.77" id="{CE154215-62F8-4963-989B-026B0CC65736}">
        <Attribution userId="S::mblasi@buenosaires.gob.ar::13f36995-3c4f-4dc1-9f9b-526dde06a67d" userName="Macarena Blasi" userProvider="AD"/>
        <Anchor>
          <Comment id="{C78E3C3B-A9BE-4CA3-98F6-B50FDB4006F0}"/>
        </Anchor>
        <Create/>
      </Event>
      <Event time="2024-12-26T15:43:03.77" id="{A92E258A-09E2-4F96-99AB-110256597F31}">
        <Attribution userId="S::mblasi@buenosaires.gob.ar::13f36995-3c4f-4dc1-9f9b-526dde06a67d" userName="Macarena Blasi" userProvider="AD"/>
        <Anchor>
          <Comment id="{C78E3C3B-A9BE-4CA3-98F6-B50FDB4006F0}"/>
        </Anchor>
        <Assign userId="S::jacquelinezoedominguez@buenosaires.gob.ar::693f7128-1221-4d60-8ba9-62e330af6f5f" userName="Jacqueline Dominguez" userProvider="AD"/>
      </Event>
      <Event time="2024-12-26T15:43:03.77" id="{062C1664-5A97-41B7-A1CF-A94091D2A486}">
        <Attribution userId="S::mblasi@buenosaires.gob.ar::13f36995-3c4f-4dc1-9f9b-526dde06a67d" userName="Macarena Blasi" userProvider="AD"/>
        <Anchor>
          <Comment id="{C78E3C3B-A9BE-4CA3-98F6-B50FDB4006F0}"/>
        </Anchor>
        <SetTitle title="nuevo @Jacqueline Dominguez @Luis Esqueda"/>
      </Event>
    </History>
  </Task>
  <Task id="{69CB8C52-D445-4687-B764-C0B380ED1935}">
    <Anchor>
      <Comment id="{71835E5A-62C4-4CBE-A9A8-9B666C9BC61B}"/>
    </Anchor>
    <History>
      <Event time="2024-12-26T15:31:01.94" id="{82670F42-46E3-472B-9D54-C54AE197190F}">
        <Attribution userId="S::mblasi@buenosaires.gob.ar::13f36995-3c4f-4dc1-9f9b-526dde06a67d" userName="Macarena Blasi" userProvider="AD"/>
        <Anchor>
          <Comment id="{71835E5A-62C4-4CBE-A9A8-9B666C9BC61B}"/>
        </Anchor>
        <Create/>
      </Event>
      <Event time="2024-12-26T15:31:01.94" id="{B20D054D-1D4F-4A3F-8C8F-2E971CBFCC57}">
        <Attribution userId="S::mblasi@buenosaires.gob.ar::13f36995-3c4f-4dc1-9f9b-526dde06a67d" userName="Macarena Blasi" userProvider="AD"/>
        <Anchor>
          <Comment id="{71835E5A-62C4-4CBE-A9A8-9B666C9BC61B}"/>
        </Anchor>
        <Assign userId="S::jacquelinezoedominguez@buenosaires.gob.ar::693f7128-1221-4d60-8ba9-62e330af6f5f" userName="Jacqueline Dominguez" userProvider="AD"/>
      </Event>
      <Event time="2024-12-26T15:31:01.94" id="{8918581F-EFC4-4CA7-9B12-8C1A7BA71566}">
        <Attribution userId="S::mblasi@buenosaires.gob.ar::13f36995-3c4f-4dc1-9f9b-526dde06a67d" userName="Macarena Blasi" userProvider="AD"/>
        <Anchor>
          <Comment id="{71835E5A-62C4-4CBE-A9A8-9B666C9BC61B}"/>
        </Anchor>
        <SetTitle title="nuevo @Jacqueline Dominguez @Luis Esqueda"/>
      </Event>
    </History>
  </Task>
  <Task id="{57EC3E55-851E-4284-A49D-08E822F63901}">
    <Anchor>
      <Comment id="{33E1E4CF-1D41-4BD0-A6B4-9702F695251F}"/>
    </Anchor>
    <History>
      <Event time="2024-12-26T15:42:45.03" id="{E1877D2B-BD77-4DFE-ADDD-75DE5112923E}">
        <Attribution userId="S::mblasi@buenosaires.gob.ar::13f36995-3c4f-4dc1-9f9b-526dde06a67d" userName="Macarena Blasi" userProvider="AD"/>
        <Anchor>
          <Comment id="{33E1E4CF-1D41-4BD0-A6B4-9702F695251F}"/>
        </Anchor>
        <Create/>
      </Event>
      <Event time="2024-12-26T15:42:45.03" id="{E297386D-0D47-4388-95D6-22E60131A539}">
        <Attribution userId="S::mblasi@buenosaires.gob.ar::13f36995-3c4f-4dc1-9f9b-526dde06a67d" userName="Macarena Blasi" userProvider="AD"/>
        <Anchor>
          <Comment id="{33E1E4CF-1D41-4BD0-A6B4-9702F695251F}"/>
        </Anchor>
        <Assign userId="S::jacquelinezoedominguez@buenosaires.gob.ar::693f7128-1221-4d60-8ba9-62e330af6f5f" userName="Jacqueline Dominguez" userProvider="AD"/>
      </Event>
      <Event time="2024-12-26T15:42:45.03" id="{B7B31353-A334-4642-8892-4DA96B096F5E}">
        <Attribution userId="S::mblasi@buenosaires.gob.ar::13f36995-3c4f-4dc1-9f9b-526dde06a67d" userName="Macarena Blasi" userProvider="AD"/>
        <Anchor>
          <Comment id="{33E1E4CF-1D41-4BD0-A6B4-9702F695251F}"/>
        </Anchor>
        <SetTitle title="nuevo @Jacqueline Dominguez @Luis Esqueda"/>
      </Event>
    </History>
  </Task>
  <Task id="{BCB71788-80C9-4B3E-B80A-2DB34411DC72}">
    <Anchor>
      <Comment id="{EF6E95C6-9AD9-4734-B352-8BCF2FF17EF7}"/>
    </Anchor>
    <History>
      <Event time="2024-12-26T15:31:15.80" id="{8EC410D3-C0AD-4417-B3DE-C04AB5265EB1}">
        <Attribution userId="S::mblasi@buenosaires.gob.ar::13f36995-3c4f-4dc1-9f9b-526dde06a67d" userName="Macarena Blasi" userProvider="AD"/>
        <Anchor>
          <Comment id="{EF6E95C6-9AD9-4734-B352-8BCF2FF17EF7}"/>
        </Anchor>
        <Create/>
      </Event>
      <Event time="2024-12-26T15:31:15.80" id="{83076AF0-C97B-4441-9E15-14FC43EBF67E}">
        <Attribution userId="S::mblasi@buenosaires.gob.ar::13f36995-3c4f-4dc1-9f9b-526dde06a67d" userName="Macarena Blasi" userProvider="AD"/>
        <Anchor>
          <Comment id="{EF6E95C6-9AD9-4734-B352-8BCF2FF17EF7}"/>
        </Anchor>
        <Assign userId="S::jacquelinezoedominguez@buenosaires.gob.ar::693f7128-1221-4d60-8ba9-62e330af6f5f" userName="Jacqueline Dominguez" userProvider="AD"/>
      </Event>
      <Event time="2024-12-26T15:31:15.80" id="{278D6B77-19A1-4B68-9A6C-1F12332CB6E9}">
        <Attribution userId="S::mblasi@buenosaires.gob.ar::13f36995-3c4f-4dc1-9f9b-526dde06a67d" userName="Macarena Blasi" userProvider="AD"/>
        <Anchor>
          <Comment id="{EF6E95C6-9AD9-4734-B352-8BCF2FF17EF7}"/>
        </Anchor>
        <SetTitle title="nuevo @Jacqueline Dominguez @Luis Esqueda"/>
      </Event>
      <Event time="2025-01-02T18:14:41.79" id="{7AD42B44-AB13-4FCF-9095-D440BF18F008}">
        <Attribution userId="S::jacquelinezoedominguez@buenosaires.gob.ar::693f7128-1221-4d60-8ba9-62e330af6f5f" userName="Jacqueline Dominguez" userProvider="AD"/>
        <Anchor>
          <Comment id="{0EE395ED-CA2E-435B-8401-48DC82E91BA6}"/>
        </Anchor>
        <UnassignAll/>
      </Event>
      <Event time="2025-01-02T18:14:41.79" id="{F962B489-6737-4449-B22C-A3DF62FB9A24}">
        <Attribution userId="S::jacquelinezoedominguez@buenosaires.gob.ar::693f7128-1221-4d60-8ba9-62e330af6f5f" userName="Jacqueline Dominguez" userProvider="AD"/>
        <Anchor>
          <Comment id="{0EE395ED-CA2E-435B-8401-48DC82E91BA6}"/>
        </Anchor>
        <Assign userId="S::mblasi@buenosaires.gob.ar::13f36995-3c4f-4dc1-9f9b-526dde06a67d" userName="Macarena Blasi" userProvider="AD"/>
      </Event>
    </History>
  </Task>
  <Task id="{8F92E091-6ACF-45C6-AADF-9B311F4A6536}">
    <Anchor>
      <Comment id="{572332AC-7E6F-468D-AFE9-F6ABE0228ADF}"/>
    </Anchor>
    <History>
      <Event time="2024-12-26T15:42:31.02" id="{BA05A569-AFB9-4616-8961-ECA66442A4B6}">
        <Attribution userId="S::mblasi@buenosaires.gob.ar::13f36995-3c4f-4dc1-9f9b-526dde06a67d" userName="Macarena Blasi" userProvider="AD"/>
        <Anchor>
          <Comment id="{572332AC-7E6F-468D-AFE9-F6ABE0228ADF}"/>
        </Anchor>
        <Create/>
      </Event>
      <Event time="2024-12-26T15:42:31.02" id="{4BF1F2B5-4E3B-4289-BA78-B797E4D29901}">
        <Attribution userId="S::mblasi@buenosaires.gob.ar::13f36995-3c4f-4dc1-9f9b-526dde06a67d" userName="Macarena Blasi" userProvider="AD"/>
        <Anchor>
          <Comment id="{572332AC-7E6F-468D-AFE9-F6ABE0228ADF}"/>
        </Anchor>
        <Assign userId="S::jacquelinezoedominguez@buenosaires.gob.ar::693f7128-1221-4d60-8ba9-62e330af6f5f" userName="Jacqueline Dominguez" userProvider="AD"/>
      </Event>
      <Event time="2024-12-26T15:42:31.02" id="{FC3C6BD0-4E8B-4369-A702-DB7A2A8F9C02}">
        <Attribution userId="S::mblasi@buenosaires.gob.ar::13f36995-3c4f-4dc1-9f9b-526dde06a67d" userName="Macarena Blasi" userProvider="AD"/>
        <Anchor>
          <Comment id="{572332AC-7E6F-468D-AFE9-F6ABE0228ADF}"/>
        </Anchor>
        <SetTitle title="nuevo @Jacqueline Dominguez @Luis Esqueda"/>
      </Event>
    </History>
  </Task>
</Tasks>
</file>

<file path=xl/documenttasks/documenttask2.xml><?xml version="1.0" encoding="utf-8"?>
<Tasks xmlns="http://schemas.microsoft.com/office/tasks/2019/documenttasks">
  <Task id="{9498789F-5372-4C8D-98A0-1077C74FB81D}">
    <Anchor>
      <Comment id="{1256E0FE-A817-4D00-B601-28FB45DA5940}"/>
    </Anchor>
    <History>
      <Event time="2024-12-26T15:43:03.77" id="{CE154215-62F8-4963-989B-026B0CC65736}">
        <Attribution userId="S::mblasi@buenosaires.gob.ar::13f36995-3c4f-4dc1-9f9b-526dde06a67d" userName="Macarena Blasi" userProvider="AD"/>
        <Anchor>
          <Comment id="{1256E0FE-A817-4D00-B601-28FB45DA5940}"/>
        </Anchor>
        <Create/>
      </Event>
      <Event time="2024-12-26T15:43:03.77" id="{A92E258A-09E2-4F96-99AB-110256597F31}">
        <Attribution userId="S::mblasi@buenosaires.gob.ar::13f36995-3c4f-4dc1-9f9b-526dde06a67d" userName="Macarena Blasi" userProvider="AD"/>
        <Anchor>
          <Comment id="{1256E0FE-A817-4D00-B601-28FB45DA5940}"/>
        </Anchor>
        <Assign userId="S::jacquelinezoedominguez@buenosaires.gob.ar::693f7128-1221-4d60-8ba9-62e330af6f5f" userName="Jacqueline Dominguez" userProvider="AD"/>
      </Event>
      <Event time="2024-12-26T15:43:03.77" id="{062C1664-5A97-41B7-A1CF-A94091D2A486}">
        <Attribution userId="S::mblasi@buenosaires.gob.ar::13f36995-3c4f-4dc1-9f9b-526dde06a67d" userName="Macarena Blasi" userProvider="AD"/>
        <Anchor>
          <Comment id="{1256E0FE-A817-4D00-B601-28FB45DA5940}"/>
        </Anchor>
        <SetTitle title="nuevo @Jacqueline Dominguez @Luis Esqueda"/>
      </Event>
    </History>
  </Task>
  <Task id="{B15C1BFA-139F-457B-9507-5F6364C9FB7C}">
    <Anchor>
      <Comment id="{054863E7-3683-4A2A-8537-CC7EB2604988}"/>
    </Anchor>
    <History>
      <Event time="2024-12-26T15:38:06.69" id="{C66D9524-6D2D-4C90-9368-1AF5E14AD8DE}">
        <Attribution userId="S::mblasi@buenosaires.gob.ar::13f36995-3c4f-4dc1-9f9b-526dde06a67d" userName="Macarena Blasi" userProvider="AD"/>
        <Anchor>
          <Comment id="{054863E7-3683-4A2A-8537-CC7EB2604988}"/>
        </Anchor>
        <Create/>
      </Event>
      <Event time="2024-12-26T15:38:06.69" id="{F58E64BF-2364-4E20-A039-A40A52C1B9A1}">
        <Attribution userId="S::mblasi@buenosaires.gob.ar::13f36995-3c4f-4dc1-9f9b-526dde06a67d" userName="Macarena Blasi" userProvider="AD"/>
        <Anchor>
          <Comment id="{054863E7-3683-4A2A-8537-CC7EB2604988}"/>
        </Anchor>
        <Assign userId="S::jacquelinezoedominguez@buenosaires.gob.ar::693f7128-1221-4d60-8ba9-62e330af6f5f" userName="Jacqueline Dominguez" userProvider="AD"/>
      </Event>
      <Event time="2024-12-26T15:38:06.69" id="{EDDBA311-4EA1-4C5D-9113-94C0F47D93A0}">
        <Attribution userId="S::mblasi@buenosaires.gob.ar::13f36995-3c4f-4dc1-9f9b-526dde06a67d" userName="Macarena Blasi" userProvider="AD"/>
        <Anchor>
          <Comment id="{054863E7-3683-4A2A-8537-CC7EB2604988}"/>
        </Anchor>
        <SetTitle title="nuevo @Jacqueline Dominguez @Luis Esqueda"/>
      </Event>
    </History>
  </Task>
</Tasks>
</file>

<file path=xl/documenttasks/documenttask3.xml><?xml version="1.0" encoding="utf-8"?>
<Tasks xmlns="http://schemas.microsoft.com/office/tasks/2019/documenttasks">
  <Task id="{5BD21482-28B9-463E-AF1F-38A82F00FC30}">
    <Anchor>
      <Comment id="{A2C56C86-B3DD-44A5-897E-BAB1CC62353C}"/>
    </Anchor>
    <History>
      <Event time="2026-02-05T21:34:04.60" id="{6B3D3D1B-8AD0-44AA-87EB-043279DB8A08}">
        <Attribution userId="S::sgarciabardeci@buenosaires.gob.ar::db6c34bb-c785-4491-ade6-f52e0debcbef" userName="Sol García Bardeci" userProvider="AD"/>
        <Anchor>
          <Comment id="{A2C56C86-B3DD-44A5-897E-BAB1CC62353C}"/>
        </Anchor>
        <Create/>
      </Event>
      <Event time="2026-02-05T21:34:04.60" id="{F890E27C-5955-48F1-9241-A39D97371223}">
        <Attribution userId="S::sgarciabardeci@buenosaires.gob.ar::db6c34bb-c785-4491-ade6-f52e0debcbef" userName="Sol García Bardeci" userProvider="AD"/>
        <Anchor>
          <Comment id="{A2C56C86-B3DD-44A5-897E-BAB1CC62353C}"/>
        </Anchor>
        <Assign userId="S::mblasi@buenosaires.gob.ar::13f36995-3c4f-4dc1-9f9b-526dde06a67d" userName="Macarena Blasi" userProvider="AD"/>
      </Event>
      <Event time="2026-02-05T21:34:04.60" id="{72C70B56-CB80-488C-84A3-AE72BE88F4C0}">
        <Attribution userId="S::sgarciabardeci@buenosaires.gob.ar::db6c34bb-c785-4491-ade6-f52e0debcbef" userName="Sol García Bardeci" userProvider="AD"/>
        <Anchor>
          <Comment id="{A2C56C86-B3DD-44A5-897E-BAB1CC62353C}"/>
        </Anchor>
        <SetTitle title="@Macarena Blasi necesito este despliegue de que áreas recibieron su servicio y si lo implementaron"/>
      </Event>
    </History>
  </Task>
</Task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17</xdr:col>
      <xdr:colOff>66675</xdr:colOff>
      <xdr:row>13</xdr:row>
      <xdr:rowOff>161925</xdr:rowOff>
    </xdr:from>
    <xdr:to>
      <xdr:col>18</xdr:col>
      <xdr:colOff>400050</xdr:colOff>
      <xdr:row>13</xdr:row>
      <xdr:rowOff>1790700</xdr:rowOff>
    </xdr:to>
    <xdr:pic>
      <xdr:nvPicPr>
        <xdr:cNvPr id="2" name="Imagen 1">
          <a:extLst>
            <a:ext uri="{FF2B5EF4-FFF2-40B4-BE49-F238E27FC236}">
              <a16:creationId xmlns:a16="http://schemas.microsoft.com/office/drawing/2014/main" id="{F60AD4DF-21E4-C7D9-D4F2-2449F5908FB9}"/>
            </a:ext>
          </a:extLst>
        </xdr:cNvPr>
        <xdr:cNvPicPr>
          <a:picLocks noChangeAspect="1"/>
        </xdr:cNvPicPr>
      </xdr:nvPicPr>
      <xdr:blipFill>
        <a:blip xmlns:r="http://schemas.openxmlformats.org/officeDocument/2006/relationships" r:embed="rId1"/>
        <a:stretch>
          <a:fillRect/>
        </a:stretch>
      </xdr:blipFill>
      <xdr:spPr>
        <a:xfrm>
          <a:off x="21145500" y="2609850"/>
          <a:ext cx="2781300" cy="1628775"/>
        </a:xfrm>
        <a:prstGeom prst="rect">
          <a:avLst/>
        </a:prstGeom>
      </xdr:spPr>
    </xdr:pic>
    <xdr:clientData/>
  </xdr:twoCellAnchor>
  <xdr:twoCellAnchor editAs="oneCell">
    <xdr:from>
      <xdr:col>18</xdr:col>
      <xdr:colOff>85725</xdr:colOff>
      <xdr:row>13</xdr:row>
      <xdr:rowOff>57150</xdr:rowOff>
    </xdr:from>
    <xdr:to>
      <xdr:col>18</xdr:col>
      <xdr:colOff>3333750</xdr:colOff>
      <xdr:row>13</xdr:row>
      <xdr:rowOff>1828800</xdr:rowOff>
    </xdr:to>
    <xdr:pic>
      <xdr:nvPicPr>
        <xdr:cNvPr id="7" name="Imagen 6">
          <a:extLst>
            <a:ext uri="{FF2B5EF4-FFF2-40B4-BE49-F238E27FC236}">
              <a16:creationId xmlns:a16="http://schemas.microsoft.com/office/drawing/2014/main" id="{3FA563C1-4B94-1A42-F721-22E1D7566335}"/>
            </a:ext>
            <a:ext uri="{147F2762-F138-4A5C-976F-8EAC2B608ADB}">
              <a16:predDERef xmlns:a16="http://schemas.microsoft.com/office/drawing/2014/main" pred="{D41E69BF-4BDC-B5C4-390F-056673996C81}"/>
            </a:ext>
          </a:extLst>
        </xdr:cNvPr>
        <xdr:cNvPicPr>
          <a:picLocks noChangeAspect="1"/>
        </xdr:cNvPicPr>
      </xdr:nvPicPr>
      <xdr:blipFill>
        <a:blip xmlns:r="http://schemas.openxmlformats.org/officeDocument/2006/relationships" r:embed="rId2"/>
        <a:stretch>
          <a:fillRect/>
        </a:stretch>
      </xdr:blipFill>
      <xdr:spPr>
        <a:xfrm>
          <a:off x="28213050" y="2505075"/>
          <a:ext cx="3248025" cy="1771650"/>
        </a:xfrm>
        <a:prstGeom prst="rect">
          <a:avLst/>
        </a:prstGeom>
      </xdr:spPr>
    </xdr:pic>
    <xdr:clientData/>
  </xdr:twoCellAnchor>
  <xdr:twoCellAnchor editAs="oneCell">
    <xdr:from>
      <xdr:col>19</xdr:col>
      <xdr:colOff>0</xdr:colOff>
      <xdr:row>13</xdr:row>
      <xdr:rowOff>9525</xdr:rowOff>
    </xdr:from>
    <xdr:to>
      <xdr:col>20</xdr:col>
      <xdr:colOff>0</xdr:colOff>
      <xdr:row>13</xdr:row>
      <xdr:rowOff>1809750</xdr:rowOff>
    </xdr:to>
    <xdr:pic>
      <xdr:nvPicPr>
        <xdr:cNvPr id="9" name="Imagen 8">
          <a:extLst>
            <a:ext uri="{FF2B5EF4-FFF2-40B4-BE49-F238E27FC236}">
              <a16:creationId xmlns:a16="http://schemas.microsoft.com/office/drawing/2014/main" id="{D69DCB8A-4458-97EE-5D78-D5A7F6E5052A}"/>
            </a:ext>
            <a:ext uri="{147F2762-F138-4A5C-976F-8EAC2B608ADB}">
              <a16:predDERef xmlns:a16="http://schemas.microsoft.com/office/drawing/2014/main" pred="{3FA563C1-4B94-1A42-F721-22E1D7566335}"/>
            </a:ext>
          </a:extLst>
        </xdr:cNvPr>
        <xdr:cNvPicPr>
          <a:picLocks noChangeAspect="1"/>
        </xdr:cNvPicPr>
      </xdr:nvPicPr>
      <xdr:blipFill>
        <a:blip xmlns:r="http://schemas.openxmlformats.org/officeDocument/2006/relationships" r:embed="rId3"/>
        <a:stretch>
          <a:fillRect/>
        </a:stretch>
      </xdr:blipFill>
      <xdr:spPr>
        <a:xfrm>
          <a:off x="26050875" y="2457450"/>
          <a:ext cx="3505200" cy="1800225"/>
        </a:xfrm>
        <a:prstGeom prst="rect">
          <a:avLst/>
        </a:prstGeom>
      </xdr:spPr>
    </xdr:pic>
    <xdr:clientData/>
  </xdr:twoCellAnchor>
  <xdr:twoCellAnchor editAs="oneCell">
    <xdr:from>
      <xdr:col>20</xdr:col>
      <xdr:colOff>200025</xdr:colOff>
      <xdr:row>13</xdr:row>
      <xdr:rowOff>66675</xdr:rowOff>
    </xdr:from>
    <xdr:to>
      <xdr:col>20</xdr:col>
      <xdr:colOff>2733675</xdr:colOff>
      <xdr:row>13</xdr:row>
      <xdr:rowOff>1752600</xdr:rowOff>
    </xdr:to>
    <xdr:pic>
      <xdr:nvPicPr>
        <xdr:cNvPr id="3" name="Imagen 2" descr="https://docs.google.com/spreadsheets/d/1IIPG-JMH48Q-jwe1QpUjgGdkjF5BVoQxFSiJcUxEEzw/edit?usp=sharing" title="Páginas Padres">
          <a:extLst>
            <a:ext uri="{FF2B5EF4-FFF2-40B4-BE49-F238E27FC236}">
              <a16:creationId xmlns:a16="http://schemas.microsoft.com/office/drawing/2014/main" id="{C13DC2CE-07BE-576C-EA1A-DDF2A2B4789B}"/>
            </a:ext>
            <a:ext uri="{147F2762-F138-4A5C-976F-8EAC2B608ADB}">
              <a16:predDERef xmlns:a16="http://schemas.microsoft.com/office/drawing/2014/main" pred="{D69DCB8A-4458-97EE-5D78-D5A7F6E5052A}"/>
            </a:ext>
          </a:extLst>
        </xdr:cNvPr>
        <xdr:cNvPicPr>
          <a:picLocks noChangeAspect="1"/>
        </xdr:cNvPicPr>
      </xdr:nvPicPr>
      <xdr:blipFill>
        <a:blip xmlns:r="http://schemas.openxmlformats.org/officeDocument/2006/relationships" r:embed="rId4"/>
        <a:stretch>
          <a:fillRect/>
        </a:stretch>
      </xdr:blipFill>
      <xdr:spPr>
        <a:xfrm>
          <a:off x="29756100" y="2514600"/>
          <a:ext cx="2533650" cy="1685925"/>
        </a:xfrm>
        <a:prstGeom prst="rect">
          <a:avLst/>
        </a:prstGeom>
      </xdr:spPr>
    </xdr:pic>
    <xdr:clientData/>
  </xdr:twoCellAnchor>
  <xdr:twoCellAnchor editAs="oneCell">
    <xdr:from>
      <xdr:col>21</xdr:col>
      <xdr:colOff>0</xdr:colOff>
      <xdr:row>13</xdr:row>
      <xdr:rowOff>0</xdr:rowOff>
    </xdr:from>
    <xdr:to>
      <xdr:col>21</xdr:col>
      <xdr:colOff>1752600</xdr:colOff>
      <xdr:row>13</xdr:row>
      <xdr:rowOff>1771650</xdr:rowOff>
    </xdr:to>
    <xdr:pic>
      <xdr:nvPicPr>
        <xdr:cNvPr id="5" name="Imagen 4" descr="https://docs.google.com/spreadsheets/d/1kJxvqAR_M93nI3UfZN1tRrvdZABvYeNskeK-O6V75xw/edit?gid=0#gid=0" title="Páginas Padres Acumulado 24 ">
          <a:extLst>
            <a:ext uri="{FF2B5EF4-FFF2-40B4-BE49-F238E27FC236}">
              <a16:creationId xmlns:a16="http://schemas.microsoft.com/office/drawing/2014/main" id="{35006DAC-9FF8-9105-ADDC-D03F58C2B290}"/>
            </a:ext>
            <a:ext uri="{147F2762-F138-4A5C-976F-8EAC2B608ADB}">
              <a16:predDERef xmlns:a16="http://schemas.microsoft.com/office/drawing/2014/main" pred="{C13DC2CE-07BE-576C-EA1A-DDF2A2B4789B}"/>
            </a:ext>
          </a:extLst>
        </xdr:cNvPr>
        <xdr:cNvPicPr>
          <a:picLocks noChangeAspect="1"/>
        </xdr:cNvPicPr>
      </xdr:nvPicPr>
      <xdr:blipFill>
        <a:blip xmlns:r="http://schemas.openxmlformats.org/officeDocument/2006/relationships" r:embed="rId5"/>
        <a:stretch>
          <a:fillRect/>
        </a:stretch>
      </xdr:blipFill>
      <xdr:spPr>
        <a:xfrm>
          <a:off x="32546925" y="2447925"/>
          <a:ext cx="1752600" cy="1771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47625</xdr:colOff>
      <xdr:row>14</xdr:row>
      <xdr:rowOff>38100</xdr:rowOff>
    </xdr:from>
    <xdr:to>
      <xdr:col>6</xdr:col>
      <xdr:colOff>2581275</xdr:colOff>
      <xdr:row>14</xdr:row>
      <xdr:rowOff>1724025</xdr:rowOff>
    </xdr:to>
    <xdr:pic>
      <xdr:nvPicPr>
        <xdr:cNvPr id="3" name="Imagen 2" descr="https://docs.google.com/spreadsheets/d/1IIPG-JMH48Q-jwe1QpUjgGdkjF5BVoQxFSiJcUxEEzw/edit?usp=sharing" title="Páginas Padres">
          <a:extLst>
            <a:ext uri="{FF2B5EF4-FFF2-40B4-BE49-F238E27FC236}">
              <a16:creationId xmlns:a16="http://schemas.microsoft.com/office/drawing/2014/main" id="{88BF3B2A-AF26-4CA7-912B-5CCB6F701500}"/>
            </a:ext>
            <a:ext uri="{147F2762-F138-4A5C-976F-8EAC2B608ADB}">
              <a16:predDERef xmlns:a16="http://schemas.microsoft.com/office/drawing/2014/main" pred="{D69DCB8A-4458-97EE-5D78-D5A7F6E5052A}"/>
            </a:ext>
          </a:extLst>
        </xdr:cNvPr>
        <xdr:cNvPicPr>
          <a:picLocks noChangeAspect="1"/>
        </xdr:cNvPicPr>
      </xdr:nvPicPr>
      <xdr:blipFill>
        <a:blip xmlns:r="http://schemas.openxmlformats.org/officeDocument/2006/relationships" r:embed="rId1"/>
        <a:stretch>
          <a:fillRect/>
        </a:stretch>
      </xdr:blipFill>
      <xdr:spPr>
        <a:xfrm>
          <a:off x="15516225" y="2667000"/>
          <a:ext cx="2533650" cy="16859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carena Blasi" id="{402B5316-A66D-41B5-93D7-66CAB64DA70D}" userId="mblasi@buenosaires.gob.ar" providerId="PeoplePicker"/>
  <person displayName="Luis Esqueda" id="{6673047D-3A43-415A-A114-C86D600F72DB}" userId="lesquedadarmas@buenosaires.gob.ar" providerId="PeoplePicker"/>
  <person displayName="Candela Blanco" id="{022647F9-AC7D-4B65-B908-7D66B5A880C5}" userId="mariacandelablanco@buenosaires.gob.ar" providerId="PeoplePicker"/>
  <person displayName="Jacqueline Dominguez" id="{B4FFA4D9-2E41-44A8-9D16-F715FF5B1E7B}" userId="jacquelinezoedominguez@buenosaires.gob.ar" providerId="PeoplePicker"/>
  <person displayName="Macarena Blasi" id="{B8FF8039-54EB-4E7C-BE5C-4554E50CF5BF}" userId="S::mblasi@buenosaires.gob.ar::13f36995-3c4f-4dc1-9f9b-526dde06a67d" providerId="AD"/>
  <person displayName="Eduardo Damian Veralli" id="{D9451879-E768-4486-A203-15CFAC903B9B}" userId="S::everalli@buenosaires.gob.ar::af14193f-f22c-4d31-bb38-7734c64a9a89" providerId="AD"/>
  <person displayName="Luis Esqueda" id="{A0F531D3-95B5-432C-A207-515287EA2ACA}" userId="S::lesquedadarmas@buenosaires.gob.ar::b45ed6aa-5c53-4fa4-bd24-5c2bed589622" providerId="AD"/>
  <person displayName="Sol García Bardeci" id="{468F7C6A-DB31-4810-BB89-D206B2583F9D}" userId="S::sgarciabardeci@buenosaires.gob.ar::db6c34bb-c785-4491-ade6-f52e0debcbef" providerId="AD"/>
  <person displayName="Jacqueline Dominguez" id="{02331FA8-AFF7-41DE-A9E8-6BB83B93E573}" userId="S::jacquelinezoedominguez@buenosaires.gob.ar::693f7128-1221-4d60-8ba9-62e330af6f5f"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V18" dT="2025-01-02T18:55:37.30" personId="{02331FA8-AFF7-41DE-A9E8-6BB83B93E573}" id="{C63A6095-6CAF-44AA-B928-53C283124A3F}">
    <text>No es la suma es un nuevo cálculo sobre el periodo total</text>
  </threadedComment>
  <threadedComment ref="U19" dT="2024-12-26T15:30:05.75" personId="{B8FF8039-54EB-4E7C-BE5C-4554E50CF5BF}" id="{F214D632-E629-4ED9-AFC6-576BF5D9DC27}">
    <text xml:space="preserve">pidanle porfa a Luqui que les pase este nro que lo saca del monitor de canales de BM. Debe estar en 90 y pico pues tuvimos la caída de Meta un par de horas a mediados de diciembre @Jacqueline Dominguez  @Luis Esqueda </text>
    <mentions>
      <mention mentionpersonId="{B4FFA4D9-2E41-44A8-9D16-F715FF5B1E7B}" mentionId="{50084DAE-1BCE-4465-926A-DF520B5BD219}" startIndex="180" length="21"/>
      <mention mentionpersonId="{6673047D-3A43-415A-A114-C86D600F72DB}" mentionId="{3EB545F7-1DC5-4F22-B8F6-B65961337169}" startIndex="203" length="13"/>
    </mentions>
  </threadedComment>
  <threadedComment ref="U19" dT="2025-01-02T14:41:14.51" personId="{02331FA8-AFF7-41DE-A9E8-6BB83B93E573}" id="{CDAE7005-F327-4AEE-9130-24F41833C50E}" parentId="{F214D632-E629-4ED9-AFC6-576BF5D9DC27}">
    <text>@Macarena Blasi @Candela Blanco No se usa más el monitor de BM (chequear que no te lo cobren) se usa otra métrica proveniente directamente de Meta porque Boti está en Cloud (lo dejo asentado para 2025 esta métrica se llama  Availability)</text>
    <mentions>
      <mention mentionpersonId="{402B5316-A66D-41B5-93D7-66CAB64DA70D}" mentionId="{FA2D31C2-9C17-4C24-9724-48B238A4320E}" startIndex="0" length="15"/>
      <mention mentionpersonId="{022647F9-AC7D-4B65-B908-7D66B5A880C5}" mentionId="{AD5E6628-A866-492E-A515-66097BA3EAA6}" startIndex="16" length="15"/>
    </mentions>
  </threadedComment>
  <threadedComment ref="P20" dT="2024-08-05T13:49:13.53" personId="{B8FF8039-54EB-4E7C-BE5C-4554E50CF5BF}" id="{36C91767-AF9B-489E-AD27-4071884C7D39}">
    <text>Reparación de Contenedor y Ampliación de Licencia</text>
  </threadedComment>
  <threadedComment ref="R20" dT="2024-10-21T15:16:27.55" personId="{B8FF8039-54EB-4E7C-BE5C-4554E50CF5BF}" id="{96CE8197-2EBA-42E0-A4DE-C9C8613961BF}">
    <text>Solic. de Columna/poste/cable en mal estado, abandonado o cortado​ EN PRD</text>
  </threadedComment>
  <threadedComment ref="R20" dT="2024-10-22T19:29:22.48" personId="{B8FF8039-54EB-4E7C-BE5C-4554E50CF5BF}" id="{6024572B-7589-4622-B5F9-7C4E15875860}" parentId="{96CE8197-2EBA-42E0-A4DE-C9C8613961BF}">
    <text>Reposición de Contenedor + Turno Dengue x 2 (Trabajados sin salir a PRD)</text>
  </threadedComment>
  <threadedComment ref="S20" dT="2024-10-21T15:17:57.89" personId="{B8FF8039-54EB-4E7C-BE5C-4554E50CF5BF}" id="{525ECB19-8F82-4CFD-8176-9D70279E4BEE}">
    <text>Charla Virtual V2 + Renovación Licencia x Cambio de Jurisdiccion + Prestación BA Colab para persistencia datos seguimiento vacunados Dengue</text>
  </threadedComment>
  <threadedComment ref="T20" dT="2024-12-02T15:17:30.53" personId="{B8FF8039-54EB-4E7C-BE5C-4554E50CF5BF}" id="{4DD75E1A-B751-4757-B6AA-9E7240621D68}">
    <text>Solicitud Consulta e Inconvenientes con TAD</text>
  </threadedComment>
  <threadedComment ref="U20" dT="2024-12-26T15:29:04.50" personId="{B8FF8039-54EB-4E7C-BE5C-4554E50CF5BF}" id="{D6A8CA59-C4D1-4900-9D86-5D89F2E2AC2F}">
    <text>Trámite Duplicado Licencia Conducir +  Solicitud Consultas por plazos o demoras en el Expediente de catastro, obras, instalaciones y factibilidad.
PD: Se pasó a PRD la turnera integrada (Sigeci Común) para la toma de turno Dengue 2da Dosis</text>
  </threadedComment>
  <threadedComment ref="P21" dT="2024-08-05T13:49:08.60" personId="{B8FF8039-54EB-4E7C-BE5C-4554E50CF5BF}" id="{234289C2-A96E-4742-A9E4-1357397DB012}">
    <text>Reparación de Contenedor y Ampliación de Licencia</text>
  </threadedComment>
  <threadedComment ref="R21" dT="2024-10-21T15:16:47.88" personId="{B8FF8039-54EB-4E7C-BE5C-4554E50CF5BF}" id="{CAEA2E9E-4204-4016-B011-511D9E86EBE6}">
    <text>Solic. de Columna/poste/cable en mal estado, abandonado o cortado​ (EN PRD)</text>
  </threadedComment>
  <threadedComment ref="R21" dT="2024-10-22T19:29:35.47" personId="{B8FF8039-54EB-4E7C-BE5C-4554E50CF5BF}" id="{61811F24-811A-43F6-B025-12900132970B}" parentId="{CAEA2E9E-4204-4016-B011-511D9E86EBE6}">
    <text>Reposición de Contenedor + Turno Dengue x 2 (Trabajados sin salir a PRD)</text>
  </threadedComment>
  <threadedComment ref="S21" dT="2024-10-22T19:07:36.27" personId="{B8FF8039-54EB-4E7C-BE5C-4554E50CF5BF}" id="{4E16A693-7C01-4F67-AECE-C7CF3FDB15E7}">
    <text>Charla Virtual V2 + Renovación Licencia x Cambio de Jurisdiccion</text>
  </threadedComment>
  <threadedComment ref="T21" dT="2024-12-02T15:17:34.73" personId="{B8FF8039-54EB-4E7C-BE5C-4554E50CF5BF}" id="{C9A69A39-C8BF-4E99-80C6-8CDD7BFDD7BC}">
    <text>Solicitud Consulta e Inconvenientes con TAD</text>
  </threadedComment>
  <threadedComment ref="U21" dT="2024-12-26T15:28:16.06" personId="{B8FF8039-54EB-4E7C-BE5C-4554E50CF5BF}" id="{9FA76548-20B0-487F-8C49-A1B36ABDD4AB}">
    <text>Trámite Duplicado Licencia Conducir +  Solicitud Consultas por plazos o demoras en el Expediente de catastro, obras, instalaciones y factibilidad.</text>
  </threadedComment>
  <threadedComment ref="T22" dT="2024-12-04T14:08:06.08" personId="{B8FF8039-54EB-4E7C-BE5C-4554E50CF5BF}" id="{BFD7B403-2CCB-4836-82D5-C49C66E2DAB9}">
    <text>se trabajaron 52 contenidos nuevos o mejorados</text>
  </threadedComment>
  <threadedComment ref="S25" dT="2024-12-02T18:52:23.52" personId="{02331FA8-AFF7-41DE-A9E8-6BB83B93E573}" id="{D09CD17D-F60D-4386-8F17-FA045E4C15BC}">
    <text xml:space="preserve">Se midió en aproximación por urgencia, se consideró Agente disponible como atendidos, claramente por la naturaleza de la CAT muchas personas abandonan antes razón por la que se hace una medición más precisa con la vuelta de la derivación para considerar los realmente atendidos
</text>
  </threadedComment>
  <threadedComment ref="T25" dT="2024-12-02T18:50:51.36" personId="{02331FA8-AFF7-41DE-A9E8-6BB83B93E573}" id="{FD6AA57D-A44B-47BC-A233-D872ACD6F9AA}">
    <text>Se hizo un funnel (MMBB)CAT 144</text>
  </threadedComment>
  <threadedComment ref="U25" dT="2024-12-02T18:50:51.36" personId="{02331FA8-AFF7-41DE-A9E8-6BB83B93E573}" id="{5AAA4784-413A-4DB2-9854-050CDBF5E4CF}">
    <text>Se hizo un funnel (MMBB)CAT 144</text>
  </threadedComment>
  <threadedComment ref="R27" dT="2024-10-02T13:17:14.61" personId="{B8FF8039-54EB-4E7C-BE5C-4554E50CF5BF}" id="{1F272985-993B-404B-80A9-B3A28E4F4343}">
    <text>Trivia FIT</text>
  </threadedComment>
  <threadedComment ref="S27" dT="2024-10-02T13:17:14.61" personId="{B8FF8039-54EB-4E7C-BE5C-4554E50CF5BF}" id="{B0FA2792-F849-4240-911B-2816F49CFAC1}">
    <text>Tecweek</text>
  </threadedComment>
  <threadedComment ref="U29" dT="2024-12-26T15:31:00.25" personId="{B8FF8039-54EB-4E7C-BE5C-4554E50CF5BF}" id="{71835E5A-62C4-4CBE-A9A8-9B666C9BC61B}">
    <text xml:space="preserve">nuevo @Jacqueline Dominguez @Luis Esqueda </text>
    <mentions>
      <mention mentionpersonId="{B4FFA4D9-2E41-44A8-9D16-F715FF5B1E7B}" mentionId="{A819125C-DA7F-43D5-96D6-A26FB0402454}" startIndex="6" length="21"/>
      <mention mentionpersonId="{6673047D-3A43-415A-A114-C86D600F72DB}" mentionId="{F149C4DD-5C0C-4681-B21C-6FCE08A98E0A}" startIndex="28" length="13"/>
    </mentions>
  </threadedComment>
  <threadedComment ref="U30" dT="2024-12-26T15:31:14.13" personId="{B8FF8039-54EB-4E7C-BE5C-4554E50CF5BF}" id="{EF6E95C6-9AD9-4734-B352-8BCF2FF17EF7}">
    <text xml:space="preserve">nuevo @Jacqueline Dominguez  @Luis Esqueda </text>
    <mentions>
      <mention mentionpersonId="{B4FFA4D9-2E41-44A8-9D16-F715FF5B1E7B}" mentionId="{37679F62-0D2B-4D28-ACB3-A5FB1A6FC54E}" startIndex="6" length="21"/>
      <mention mentionpersonId="{6673047D-3A43-415A-A114-C86D600F72DB}" mentionId="{FB0E236F-C1D2-47EA-A316-2848D3272843}" startIndex="29" length="13"/>
    </mentions>
  </threadedComment>
  <threadedComment ref="U30" dT="2025-01-02T18:14:31.61" personId="{02331FA8-AFF7-41DE-A9E8-6BB83B93E573}" id="{0EE395ED-CA2E-435B-8401-48DC82E91BA6}" parentId="{EF6E95C6-9AD9-4734-B352-8BCF2FF17EF7}">
    <text xml:space="preserve">@Macarena Blasi @Candela Blanco dejo la definición correcta de los indicadores ustedes digan cual es el número que les hace más sentido mostrar </text>
    <mentions>
      <mention mentionpersonId="{402B5316-A66D-41B5-93D7-66CAB64DA70D}" mentionId="{B10D1EDE-E0CE-43B4-8A5A-17383478E468}" startIndex="0" length="15"/>
      <mention mentionpersonId="{022647F9-AC7D-4B65-B908-7D66B5A880C5}" mentionId="{D85CDE23-3EA4-4722-AC75-133933C2F308}" startIndex="16" length="15"/>
    </mentions>
  </threadedComment>
  <threadedComment ref="T32" dT="2024-12-02T18:05:47.34" personId="{02331FA8-AFF7-41DE-A9E8-6BB83B93E573}" id="{5916B245-36E2-4BD6-AA42-B3CF6AF075F7}">
    <text>Hasta 19/11 inclusive</text>
  </threadedComment>
  <threadedComment ref="T34" dT="2024-12-02T19:56:46.42" personId="{02331FA8-AFF7-41DE-A9E8-6BB83B93E573}" id="{C122CE59-8212-424B-87B0-353564F50B89}">
    <text>Nueva medición productiva desde 20/11</text>
  </threadedComment>
  <threadedComment ref="U34" dT="2024-12-26T15:42:29.33" personId="{B8FF8039-54EB-4E7C-BE5C-4554E50CF5BF}" id="{572332AC-7E6F-468D-AFE9-F6ABE0228ADF}">
    <text xml:space="preserve">nuevo @Jacqueline Dominguez  @Luis Esqueda </text>
    <mentions>
      <mention mentionpersonId="{B4FFA4D9-2E41-44A8-9D16-F715FF5B1E7B}" mentionId="{FA40EC74-D7FC-4E3C-8CE1-6F54BCEA0186}" startIndex="6" length="21"/>
      <mention mentionpersonId="{6673047D-3A43-415A-A114-C86D600F72DB}" mentionId="{DD4679B3-5F8D-488B-9671-855B1916B626}" startIndex="29" length="13"/>
    </mentions>
  </threadedComment>
  <threadedComment ref="T35" dT="2024-12-02T19:57:53.47" personId="{02331FA8-AFF7-41DE-A9E8-6BB83B93E573}" id="{789637B2-CA89-498B-A30E-7FC9B9A3BB3B}">
    <text xml:space="preserve">Nueva medición productiva 20/11 (solo si responde sí en efectividad) 
</text>
  </threadedComment>
  <threadedComment ref="U35" dT="2024-12-26T15:42:43.33" personId="{B8FF8039-54EB-4E7C-BE5C-4554E50CF5BF}" id="{33E1E4CF-1D41-4BD0-A6B4-9702F695251F}">
    <text xml:space="preserve">nuevo @Jacqueline Dominguez  @Luis Esqueda </text>
    <mentions>
      <mention mentionpersonId="{B4FFA4D9-2E41-44A8-9D16-F715FF5B1E7B}" mentionId="{83D62376-679A-469C-ADF9-EEBD142CC44E}" startIndex="6" length="21"/>
      <mention mentionpersonId="{6673047D-3A43-415A-A114-C86D600F72DB}" mentionId="{92F44CAA-0EC8-4916-93A8-D537B788DB2A}" startIndex="29" length="13"/>
    </mentions>
  </threadedComment>
  <threadedComment ref="T36" dT="2024-12-02T19:57:08.61" personId="{02331FA8-AFF7-41DE-A9E8-6BB83B93E573}" id="{EEC96FB8-DBA3-414D-81DB-AEBD27C43D77}">
    <text>Nueva medición productiva desde 20/11</text>
  </threadedComment>
  <threadedComment ref="U36" dT="2024-12-26T15:42:53.74" personId="{B8FF8039-54EB-4E7C-BE5C-4554E50CF5BF}" id="{7E486BCA-90F2-4382-AAAB-EDC0ED925EB8}">
    <text xml:space="preserve">nuevo @Jacqueline Dominguez @Luis Esqueda </text>
    <mentions>
      <mention mentionpersonId="{B4FFA4D9-2E41-44A8-9D16-F715FF5B1E7B}" mentionId="{58353374-97B1-4900-9229-8F00E2E0CBC5}" startIndex="6" length="21"/>
      <mention mentionpersonId="{6673047D-3A43-415A-A114-C86D600F72DB}" mentionId="{FE6B54F9-3AAD-469C-AA6E-D579D8419B6C}" startIndex="28" length="13"/>
    </mentions>
  </threadedComment>
  <threadedComment ref="U37" dT="2024-12-26T15:43:02.08" personId="{B8FF8039-54EB-4E7C-BE5C-4554E50CF5BF}" id="{C78E3C3B-A9BE-4CA3-98F6-B50FDB4006F0}">
    <text xml:space="preserve">nuevo @Jacqueline Dominguez  @Luis Esqueda </text>
    <mentions>
      <mention mentionpersonId="{B4FFA4D9-2E41-44A8-9D16-F715FF5B1E7B}" mentionId="{968BD0A2-4289-4784-9601-753747DC274F}" startIndex="6" length="21"/>
      <mention mentionpersonId="{6673047D-3A43-415A-A114-C86D600F72DB}" mentionId="{C46DD8E9-BF62-48EF-94B7-813A546601C8}" startIndex="29" length="13"/>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L8" dT="2025-07-17T19:26:48.19" personId="{D9451879-E768-4486-A203-15CFAC903B9B}" id="{66A56E33-68B9-4E5C-8A8D-C789096D3A2D}">
    <text xml:space="preserve">Previamente tenía el valor 5,452 </text>
  </threadedComment>
  <threadedComment ref="L9" dT="2025-07-17T19:07:30.53" personId="{A0F531D3-95B5-432C-A207-515287EA2ACA}" id="{61E4C9F9-55DB-4EC9-9548-BAA6CD480103}">
    <text>Previamente tenía el valor 38:08:30 (correspondía a la web de trámites)</text>
  </threadedComment>
  <threadedComment ref="K16" dT="2025-05-21T18:29:48.55" personId="{A0F531D3-95B5-432C-A207-515287EA2ACA}" id="{B2335A61-F1B2-42E6-B8DF-2CA39AA9FFD6}">
    <text>Número afectado por pushes de limpieza de cats.
Cantidad del Lote: 691.964</text>
  </threadedComment>
  <threadedComment ref="K16" dT="2025-06-10T18:52:05.56" personId="{A0F531D3-95B5-432C-A207-515287EA2ACA}" id="{AD3C4512-00CA-408B-A889-1BAB930A9172}" parentId="{B2335A61-F1B2-42E6-B8DF-2CA39AA9FFD6}">
    <text>Cantidad de sesiones en bruto: 3.108.105</text>
  </threadedComment>
  <threadedComment ref="K17" dT="2025-06-10T18:48:32.75" personId="{A0F531D3-95B5-432C-A207-515287EA2ACA}" id="{C3CDF6CF-0A25-4099-87AB-0610E9147419}">
    <text>Se dejó como métrica de usuarios corregida tomando en cuenta que históricamente los usuarios tienen 2 sesiones en promedio.</text>
  </threadedComment>
  <threadedComment ref="K17" dT="2025-06-10T18:52:53.91" personId="{A0F531D3-95B5-432C-A207-515287EA2ACA}" id="{F7C42594-A1D2-4096-AFAB-0A43010A6047}" parentId="{C3CDF6CF-0A25-4099-87AB-0610E9147419}">
    <text>Cantidad de usuarios bruto: 1.695.398</text>
  </threadedComment>
  <threadedComment ref="O20" dT="2025-09-02T15:43:38.24" personId="{A0F531D3-95B5-432C-A207-515287EA2ACA}" id="{B6617FFB-1AD1-4039-8BC1-75D81481ADE9}">
    <text>Queda a la espera de recuperar los datos de la tabla de eventos. (Este indicador se consulta mediante el evento 'notification-status-sent')</text>
  </threadedComment>
  <threadedComment ref="G21" dT="2025-01-02T14:38:12.84" personId="{02331FA8-AFF7-41DE-A9E8-6BB83B93E573}" id="{E88CD606-D841-4AEB-9153-0814B6136037}">
    <text xml:space="preserve">No sería mejor una tasa de contenidos trabajados / contenidos productivos @Macarena Blasi </text>
    <mentions>
      <mention mentionpersonId="{402B5316-A66D-41B5-93D7-66CAB64DA70D}" mentionId="{D14BB495-656B-447E-9B70-585387A60A8F}" startIndex="74" length="15"/>
    </mentions>
  </threadedComment>
  <threadedComment ref="G22" dT="2024-12-26T15:38:05.00" personId="{B8FF8039-54EB-4E7C-BE5C-4554E50CF5BF}" id="{054863E7-3683-4A2A-8537-CC7EB2604988}">
    <text xml:space="preserve">nuevo @Jacqueline Dominguez @Luis Esqueda </text>
    <mentions>
      <mention mentionpersonId="{B4FFA4D9-2E41-44A8-9D16-F715FF5B1E7B}" mentionId="{FDC198F1-6BCC-4897-A8E9-B43B15775EF4}" startIndex="6" length="21"/>
      <mention mentionpersonId="{6673047D-3A43-415A-A114-C86D600F72DB}" mentionId="{33D6AFD6-B788-49B8-A230-6EF59BD5FE35}" startIndex="28" length="13"/>
    </mentions>
  </threadedComment>
  <threadedComment ref="G22" dT="2025-01-02T12:39:38.19" personId="{02331FA8-AFF7-41DE-A9E8-6BB83B93E573}" id="{08F77DC8-B37B-4581-95EF-C3857FD22B4C}" parentId="{054863E7-3683-4A2A-8537-CC7EB2604988}">
    <text>@Luis Esqueda indicar fuente</text>
    <mentions>
      <mention mentionpersonId="{6673047D-3A43-415A-A114-C86D600F72DB}" mentionId="{872F5557-2C0B-4F90-987C-87001F56C28F}" startIndex="0" length="13"/>
    </mentions>
  </threadedComment>
  <threadedComment ref="G23" dT="2024-12-26T15:38:21.05" personId="{B8FF8039-54EB-4E7C-BE5C-4554E50CF5BF}" id="{4CC3F694-E877-46F3-A6C8-EA4E6162ECF4}">
    <text xml:space="preserve">nuevo @Jacqueline Dominguez @Luis Esqueda </text>
    <mentions>
      <mention mentionpersonId="{B4FFA4D9-2E41-44A8-9D16-F715FF5B1E7B}" mentionId="{51FFD37F-8B47-4D11-B64C-C715CD959715}" startIndex="6" length="21"/>
      <mention mentionpersonId="{6673047D-3A43-415A-A114-C86D600F72DB}" mentionId="{0504EEDC-8701-4A66-8893-C986B4A5A01D}" startIndex="28" length="13"/>
    </mentions>
  </threadedComment>
  <threadedComment ref="G24" dT="2024-12-26T15:44:17.57" personId="{B8FF8039-54EB-4E7C-BE5C-4554E50CF5BF}" id="{1E8CF7AD-1249-4E3E-ADF7-CF8E1F7F0711}">
    <text>Trámite Duplicado Licencia Conducir +  Solicitud Consultas por plazos o demoras en el Expediente de catastro, obras, instalaciones y factibilidad.
PD: Se pasó a PRD la turnera integrada (Sigeci Común) para la toma de turno Dengue 2da Dosis</text>
  </threadedComment>
  <threadedComment ref="H24" dT="2025-02-04T12:43:41.07" personId="{B8FF8039-54EB-4E7C-BE5C-4554E50CF5BF}" id="{FF74A302-F18E-4E41-8FE6-C69629128460}">
    <text>+Soli Vaciado Contenedor</text>
  </threadedComment>
  <threadedComment ref="J24" dT="2025-04-07T13:42:39.27" personId="{B8FF8039-54EB-4E7C-BE5C-4554E50CF5BF}" id="{2404AF57-1611-4092-A8FB-A86EFC0B6564}">
    <text>Trámites = 17 (se bajó Reimpresión)
Turnos = 15 (se sumó Pasaporte x2)
Solis = 35 (se sumpo Rep Semáforo)
Otras Integraciones (consultas) = 22</text>
  </threadedComment>
  <threadedComment ref="K24" dT="2025-04-14T17:56:40.54" personId="{B8FF8039-54EB-4E7C-BE5C-4554E50CF5BF}" id="{2D1C1E70-74A9-4850-A82D-C080368D317E}">
    <text>se sumó soli inconvenientes con std + turno cambio de domicilio en dni</text>
  </threadedComment>
  <threadedComment ref="L24" dT="2025-06-04T15:47:11.53" personId="{B8FF8039-54EB-4E7C-BE5C-4554E50CF5BF}" id="{CD2A91FB-D541-49A3-B583-6785EC8BF4CA}">
    <text>Se sumó turno pista auto particular</text>
  </threadedComment>
  <threadedComment ref="M24" dT="2025-07-03T16:33:58.79" personId="{B8FF8039-54EB-4E7C-BE5C-4554E50CF5BF}" id="{C917582B-1EE7-4E44-BDC9-292AB28992FC}">
    <text>Se sumaron Turnos Abiertos + Trámite de Reevaluación Licencias</text>
  </threadedComment>
  <threadedComment ref="P24" dT="2025-10-02T15:51:33.98" personId="{B8FF8039-54EB-4E7C-BE5C-4554E50CF5BF}" id="{A20020F1-F1B0-41B6-967D-BE99A1E4C4B2}">
    <text>Se sumó Turnera Audiencia Online Videollamada Infracciones</text>
  </threadedComment>
  <threadedComment ref="R24" dT="2025-11-03T17:21:47.26" personId="{B8FF8039-54EB-4E7C-BE5C-4554E50CF5BF}" id="{C9254779-A48A-42C3-B6F8-FBBC0EE50FEF}">
    <text>Se sumó Turno para Reevaluación de Licencia</text>
  </threadedComment>
  <threadedComment ref="S24" dT="2026-01-05T16:54:38.17" personId="{B8FF8039-54EB-4E7C-BE5C-4554E50CF5BF}" id="{24FD1DD7-98B8-4230-9955-C08D86DDBA4B}">
    <text>se apagaron x6 trámites de partidas</text>
  </threadedComment>
  <threadedComment ref="G25" dT="2024-12-26T15:44:30.44" personId="{B8FF8039-54EB-4E7C-BE5C-4554E50CF5BF}" id="{8E866FA0-B9CC-4371-A58E-240F052FDD9B}">
    <text>Trámite Duplicado Licencia Conducir +  Solicitud Consultas por plazos o demoras en el Expediente de catastro, obras, instalaciones y factibilidad.</text>
  </threadedComment>
  <threadedComment ref="H25" dT="2025-02-04T12:43:58.49" personId="{B8FF8039-54EB-4E7C-BE5C-4554E50CF5BF}" id="{6FE1B45F-E23A-4AEF-A661-E890D97BBFE0}">
    <text>+Soli Vaciado Contenedor</text>
  </threadedComment>
  <threadedComment ref="I25" dT="2025-04-07T13:43:46.88" personId="{B8FF8039-54EB-4E7C-BE5C-4554E50CF5BF}" id="{D93D9FF8-2E73-414E-B024-11A67355216D}">
    <text>Se sumó Lavado de contenedor</text>
  </threadedComment>
  <threadedComment ref="J25" dT="2025-04-07T13:44:22.95" personId="{B8FF8039-54EB-4E7C-BE5C-4554E50CF5BF}" id="{0B4400AB-E15D-4C22-9E18-FAD67295ADA0}">
    <text>Se sumó Soli Semáforo. Se sumaron x2 turnos pasamorte. Se bajó Trámite Reimpresión</text>
  </threadedComment>
  <threadedComment ref="K25" dT="2025-04-14T17:56:54.05" personId="{B8FF8039-54EB-4E7C-BE5C-4554E50CF5BF}" id="{54C9A802-DBFB-406A-A91F-2CB1825AC268}">
    <text>se sumó soli inconvenientes con std + turno cambio de domicilio en dni</text>
  </threadedComment>
  <threadedComment ref="L25" dT="2025-06-04T15:47:15.29" personId="{B8FF8039-54EB-4E7C-BE5C-4554E50CF5BF}" id="{8466E9B5-ED16-43EC-9740-D4A7B8FD165E}">
    <text>Se sumó turno pista auto particular</text>
  </threadedComment>
  <threadedComment ref="M25" dT="2025-07-03T16:34:06.68" personId="{B8FF8039-54EB-4E7C-BE5C-4554E50CF5BF}" id="{27C1BDF0-5CC3-4460-8C28-63E5BA0C105D}">
    <text>Se sumaron Turnos Abiertos + Trámite de Reevaluación Licencias</text>
  </threadedComment>
  <threadedComment ref="P25" dT="2025-10-02T15:51:37.92" personId="{B8FF8039-54EB-4E7C-BE5C-4554E50CF5BF}" id="{B84BD817-E7B4-4391-B448-288E48E112CF}">
    <text>Se sumó Turnera Audiencia Online Videollamada Infracciones</text>
  </threadedComment>
  <threadedComment ref="R25" dT="2025-11-03T17:21:51.40" personId="{B8FF8039-54EB-4E7C-BE5C-4554E50CF5BF}" id="{C7D4D0BF-D6B1-4E9D-972A-120F16785D1E}">
    <text>Se sumó Turno para Reevaluación de Licencia</text>
  </threadedComment>
  <threadedComment ref="S25" dT="2026-01-05T16:54:34.58" personId="{B8FF8039-54EB-4E7C-BE5C-4554E50CF5BF}" id="{B837AC0F-72F7-4E7C-A60F-D9EDDBC33B0F}">
    <text>se apagaron x6 trámites de partidas</text>
  </threadedComment>
  <threadedComment ref="N26" dT="2025-08-05T04:10:42.63" personId="{A0F531D3-95B5-432C-A207-515287EA2ACA}" id="{43725739-08C3-4EB7-8147-9CC5B644933F}">
    <text>Contenidos más Consultados - Parcial Julio al 21
1- Confirmación Turnos Salud : (283.973)
2-Turnos Salud : (91.331)
3- Mis profesionales : (82.420)
4- Infracciones : (79.454)
5- Hospitales : (59.106)
6- Turnos SAP : (57.690)
7- Licencias : (54.705)
8- Trámites Vehículos SAP : (50.356)
9- Trámites SAP: (34.558)
10- Busca donde está permitido estacionar: (34.254)</text>
  </threadedComment>
  <threadedComment ref="I29" dT="2026-01-05T14:54:07.22" personId="{B8FF8039-54EB-4E7C-BE5C-4554E50CF5BF}" id="{C04A724C-9E1D-4714-B077-7AF27500F3A9}">
    <text>se sumó CAT gestor de encuentros push (demanda insatisfecha)</text>
  </threadedComment>
  <threadedComment ref="L29" dT="2026-01-05T14:54:24.11" personId="{B8FF8039-54EB-4E7C-BE5C-4554E50CF5BF}" id="{20F9D3B5-73C8-476C-A429-CA7755FC07CE}">
    <text>se sumó Telemedicina</text>
  </threadedComment>
  <threadedComment ref="P29" dT="2025-10-02T15:50:31.26" personId="{B8FF8039-54EB-4E7C-BE5C-4554E50CF5BF}" id="{6B9C0252-E9C3-4B5F-A803-C4BE3E3DA4EE}">
    <text>Se apagaron CATs Telemedicina + Gestor de Encuentros</text>
  </threadedComment>
  <threadedComment ref="R29" dT="2026-01-05T14:55:19.89" personId="{B8FF8039-54EB-4E7C-BE5C-4554E50CF5BF}" id="{BED3E1A0-1141-4411-AF09-D5FE09AD7008}">
    <text>Se pagaron CATs Infracciones (Aux + Controladores)</text>
  </threadedComment>
  <threadedComment ref="O31" dT="2025-09-02T14:45:28.30" personId="{A0F531D3-95B5-432C-A207-515287EA2ACA}" id="{774F30F1-1FAB-4351-9158-CF2FDA0DC20B}">
    <text>Por falta de persistencia de datos en las tablas nueva IA para agosto no tendremos NE</text>
  </threadedComment>
  <threadedComment ref="L33" dT="2025-06-10T17:09:02.81" personId="{A0F531D3-95B5-432C-A207-515287EA2ACA}" id="{571F0388-21DA-450F-87CD-799CFFB82324}">
    <text>Se cargó 3,97 previamente por error en la planilla de cálculo.</text>
  </threadedComment>
  <threadedComment ref="G35" dT="2025-01-02T17:17:25.95" personId="{02331FA8-AFF7-41DE-A9E8-6BB83B93E573}" id="{B6905082-ADE1-4271-985C-33DFC744289F}">
    <text>Caído 96 minutos el 11/12</text>
  </threadedComment>
  <threadedComment ref="G36" dT="2024-12-26T15:43:02.08" personId="{B8FF8039-54EB-4E7C-BE5C-4554E50CF5BF}" id="{1256E0FE-A817-4D00-B601-28FB45DA5940}">
    <text xml:space="preserve">nuevo @Jacqueline Dominguez  @Luis Esqueda </text>
    <mentions>
      <mention mentionpersonId="{B4FFA4D9-2E41-44A8-9D16-F715FF5B1E7B}" mentionId="{4727F0CA-B693-4312-A4EB-2986D24871F1}" startIndex="6" length="21"/>
      <mention mentionpersonId="{6673047D-3A43-415A-A114-C86D600F72DB}" mentionId="{362EC50A-54F5-4C25-8C03-C9F2906B23D5}" startIndex="29" length="13"/>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F17" dT="2026-03-03T15:49:17.24" personId="{A0F531D3-95B5-432C-A207-515287EA2ACA}" id="{B9839438-E308-4C41-BE14-8327C03D0FF4}">
    <text>La url tuvo un cambio, pasa de [/ba-productiva] a [/inicio/ba-productiva]:
Valor en prod: 1.789</text>
  </threadedComment>
  <threadedComment ref="G17" dT="2026-03-03T15:51:35.44" personId="{A0F531D3-95B5-432C-A207-515287EA2ACA}" id="{36D94351-5DD2-4A8A-B0F3-2522F9EDD35A}">
    <text>La url tuvo un cambio, pasa de [/ba-productiva] a [/inicio/ba-productiva]:
Valor en prod: 1.588</text>
  </threadedComment>
  <threadedComment ref="F18" dT="2026-03-03T15:50:07.76" personId="{A0F531D3-95B5-432C-A207-515287EA2ACA}" id="{989873F5-C15C-4E14-A223-BC3CB388F7EB}">
    <text>La url tuvo un cambio, pasa de [/ba-productiva] a [/inicio/ba-productiva]:
Valor en prod: 1.056</text>
  </threadedComment>
  <threadedComment ref="G18" dT="2026-03-03T15:51:50.21" personId="{A0F531D3-95B5-432C-A207-515287EA2ACA}" id="{CD36F484-3754-42A1-BF14-E809ED231ECD}">
    <text>La url tuvo un cambio, pasa de [/ba-productiva] a [/inicio/ba-productiva]:
Valor en prod: 933</text>
  </threadedComment>
  <threadedComment ref="F19" dT="2026-03-03T15:50:26.12" personId="{A0F531D3-95B5-432C-A207-515287EA2ACA}" id="{3E5B561D-7306-4A6B-A85E-1CE856B7A6B9}">
    <text>La url tuvo un cambio, pasa de [/ba-productiva] a [/inicio/ba-productiva]:
Valor en prod: 869</text>
  </threadedComment>
  <threadedComment ref="G19" dT="2026-03-03T15:52:10.55" personId="{A0F531D3-95B5-432C-A207-515287EA2ACA}" id="{D7AC36AF-697C-41F1-8BCF-22C52B32CCCA}">
    <text>La url tuvo un cambio, pasa de [/ba-productiva] a [/inicio/ba-productiva]:
Valor en prod: 768</text>
  </threadedComment>
  <threadedComment ref="G28" dT="2026-02-25T15:43:58.85" personId="{B8FF8039-54EB-4E7C-BE5C-4554E50CF5BF}" id="{262FF7DF-0B73-4B0F-BAD7-E61C574E7EBB}">
    <text>IEL - Link expirable para inscripción escolar fuera de término</text>
  </threadedComment>
  <threadedComment ref="G32" dT="2026-02-25T15:45:38.01" personId="{B8FF8039-54EB-4E7C-BE5C-4554E50CF5BF}" id="{0C07DA4E-A73B-4D5E-AEDF-1E9B095CC883}">
    <text>IEL - Link expirable para inscripción escolar fuera de término</text>
  </threadedComment>
  <threadedComment ref="F35" dT="2026-02-02T20:23:14.27" personId="{B8FF8039-54EB-4E7C-BE5C-4554E50CF5BF}" id="{DEC0891F-28B8-4604-9315-CE7F99BC9008}">
    <text>CDETAC</text>
  </threadedComment>
  <threadedComment ref="G35" dT="2026-02-25T15:43:05.57" personId="{B8FF8039-54EB-4E7C-BE5C-4554E50CF5BF}" id="{AF52A4A9-1259-4F59-B318-BC5167EE5AF8}">
    <text>CAT Docentes</text>
  </threadedComment>
  <threadedComment ref="E36" dT="2026-02-04T19:25:08.60" personId="{B8FF8039-54EB-4E7C-BE5C-4554E50CF5BF}" id="{34550242-1F45-4CF9-9EF7-CE4BA37A2A75}">
    <text>6.60%</text>
  </threadedComment>
  <threadedComment ref="F36" dT="2026-02-04T19:24:54.51" personId="{B8FF8039-54EB-4E7C-BE5C-4554E50CF5BF}" id="{80F3AFA4-A669-4A69-B741-8E77F286E2CE}">
    <text>7,30%</text>
  </threadedComment>
  <threadedComment ref="G36" dT="2026-03-03T17:16:00.90" personId="{A0F531D3-95B5-432C-A207-515287EA2ACA}" id="{13A6FF78-9B03-477E-90DB-D7F407B2848B}">
    <text>7,40%</text>
  </threadedComment>
</ThreadedComments>
</file>

<file path=xl/threadedComments/threadedComment4.xml><?xml version="1.0" encoding="utf-8"?>
<ThreadedComments xmlns="http://schemas.microsoft.com/office/spreadsheetml/2018/threadedcomments" xmlns:x="http://schemas.openxmlformats.org/spreadsheetml/2006/main">
  <threadedComment ref="C2" dT="2026-02-06T18:56:38.69" personId="{B8FF8039-54EB-4E7C-BE5C-4554E50CF5BF}" id="{70EB6D73-C282-42A1-8054-5E646754C1DF}">
    <text>IGE y CNNyA</text>
  </threadedComment>
  <threadedComment ref="C3" dT="2026-02-25T17:35:33.00" personId="{B8FF8039-54EB-4E7C-BE5C-4554E50CF5BF}" id="{C0B467CF-CE6E-47D5-8FF3-ADD69AAA2195}">
    <text>Firma Digital + Portal de Accesibilidad</text>
  </threadedComment>
</ThreadedComments>
</file>

<file path=xl/threadedComments/threadedComment5.xml><?xml version="1.0" encoding="utf-8"?>
<ThreadedComments xmlns="http://schemas.microsoft.com/office/spreadsheetml/2018/threadedcomments" xmlns:x="http://schemas.openxmlformats.org/spreadsheetml/2006/main">
  <threadedComment ref="J1" dT="2026-02-06T19:53:14.00" personId="{B8FF8039-54EB-4E7C-BE5C-4554E50CF5BF}" id="{D33F64B9-7982-45B9-A354-0D27A8377CEF}">
    <text>la capacitación fue sobre  Estado de Obelisco v2 y su implementación y adaptado a Diseñadores / devs /qa / research (cómo trabajan obelisco)</text>
  </threadedComment>
  <threadedComment ref="B2" dT="2026-02-05T21:34:05.06" personId="{468F7C6A-DB31-4810-BB89-D206B2583F9D}" id="{A2C56C86-B3DD-44A5-897E-BAB1CC62353C}">
    <text>@Macarena Blasi necesito este despliegue de que áreas recibieron su servicio y si lo implementaron</text>
    <mentions>
      <mention mentionpersonId="{402B5316-A66D-41B5-93D7-66CAB64DA70D}" mentionId="{BE3AAB98-7ED2-4639-8703-5A2100CE1B2C}" startIndex="0" length="15"/>
    </mentions>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we.gob.ar/" TargetMode="External"/><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https://metastatus.com/whatsapp-business-api" TargetMode="External"/><Relationship Id="rId6" Type="http://schemas.microsoft.com/office/2019/04/relationships/documenttask" Target="../documenttasks/documenttask2.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metastatus.com/whatsapp-business-api" TargetMode="Externa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documenttask" Target="../documenttasks/documenttask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7FDAD-5C1E-40F2-8A29-802725B1D26A}">
  <dimension ref="A1:I915"/>
  <sheetViews>
    <sheetView topLeftCell="A105" workbookViewId="0"/>
  </sheetViews>
  <sheetFormatPr baseColWidth="10" defaultColWidth="8.88671875" defaultRowHeight="13.2"/>
  <cols>
    <col min="1" max="1" width="16.5546875" customWidth="1"/>
    <col min="2" max="2" width="17.33203125" customWidth="1"/>
    <col min="3" max="3" width="22.88671875" customWidth="1"/>
    <col min="6" max="6" width="9.44140625" bestFit="1" customWidth="1"/>
    <col min="7" max="7" width="19.44140625" style="350" customWidth="1"/>
    <col min="8" max="8" width="20.33203125" style="350" customWidth="1"/>
    <col min="9" max="9" width="22.33203125" style="350" customWidth="1"/>
  </cols>
  <sheetData>
    <row r="1" spans="1:9" ht="18" customHeight="1">
      <c r="A1" s="347" t="s">
        <v>0</v>
      </c>
      <c r="B1" s="348" t="s">
        <v>1</v>
      </c>
      <c r="C1" s="349" t="s">
        <v>2</v>
      </c>
      <c r="G1" s="356" t="s">
        <v>0</v>
      </c>
      <c r="H1" s="360" t="s">
        <v>1</v>
      </c>
      <c r="I1" s="361" t="s">
        <v>2</v>
      </c>
    </row>
    <row r="2" spans="1:9">
      <c r="A2" s="334">
        <v>43374</v>
      </c>
      <c r="B2" s="335">
        <v>200</v>
      </c>
      <c r="C2" s="336"/>
      <c r="G2" s="359">
        <v>2018</v>
      </c>
      <c r="H2" s="357">
        <v>715</v>
      </c>
      <c r="I2" s="357"/>
    </row>
    <row r="3" spans="1:9">
      <c r="A3" s="334">
        <v>43405</v>
      </c>
      <c r="B3" s="335">
        <v>300</v>
      </c>
      <c r="C3" s="336"/>
      <c r="G3" s="359">
        <v>2019</v>
      </c>
      <c r="H3" s="358">
        <v>3250000</v>
      </c>
      <c r="I3" s="357"/>
    </row>
    <row r="4" spans="1:9">
      <c r="A4" s="334">
        <v>43435</v>
      </c>
      <c r="B4" s="335">
        <v>215</v>
      </c>
      <c r="C4" s="336"/>
      <c r="G4" s="359">
        <v>2020</v>
      </c>
      <c r="H4" s="358">
        <v>4501687</v>
      </c>
      <c r="I4" s="357"/>
    </row>
    <row r="5" spans="1:9">
      <c r="A5" s="340" t="s">
        <v>3</v>
      </c>
      <c r="B5" s="341">
        <v>715</v>
      </c>
      <c r="C5" s="337"/>
      <c r="G5" s="359">
        <v>2021</v>
      </c>
      <c r="H5" s="358">
        <v>45340332</v>
      </c>
      <c r="I5" s="358">
        <v>15694007</v>
      </c>
    </row>
    <row r="6" spans="1:9">
      <c r="A6" s="334">
        <v>43466</v>
      </c>
      <c r="B6" s="338" t="s">
        <v>4</v>
      </c>
      <c r="C6" s="339" t="s">
        <v>4</v>
      </c>
      <c r="G6" s="359">
        <v>2022</v>
      </c>
      <c r="H6" s="358">
        <v>58490004</v>
      </c>
      <c r="I6" s="358">
        <v>28049468</v>
      </c>
    </row>
    <row r="7" spans="1:9">
      <c r="A7" s="334">
        <v>43497</v>
      </c>
      <c r="B7" s="338" t="s">
        <v>4</v>
      </c>
      <c r="C7" s="339" t="s">
        <v>4</v>
      </c>
      <c r="G7" s="359">
        <v>2023</v>
      </c>
      <c r="H7" s="358">
        <v>20721612</v>
      </c>
      <c r="I7" s="358">
        <v>11221898</v>
      </c>
    </row>
    <row r="8" spans="1:9">
      <c r="A8" s="334">
        <v>43525</v>
      </c>
      <c r="B8" s="338" t="s">
        <v>4</v>
      </c>
      <c r="C8" s="339" t="s">
        <v>4</v>
      </c>
      <c r="G8" s="359">
        <v>2024</v>
      </c>
      <c r="H8" s="358">
        <v>24228393</v>
      </c>
      <c r="I8" s="358">
        <v>10731371</v>
      </c>
    </row>
    <row r="9" spans="1:9">
      <c r="A9" s="334">
        <v>43556</v>
      </c>
      <c r="B9" s="338" t="s">
        <v>4</v>
      </c>
      <c r="C9" s="339" t="s">
        <v>4</v>
      </c>
      <c r="G9" s="359">
        <v>2025</v>
      </c>
      <c r="H9" s="358">
        <v>32617386</v>
      </c>
      <c r="I9" s="358">
        <v>13496426</v>
      </c>
    </row>
    <row r="10" spans="1:9">
      <c r="A10" s="334">
        <v>43586</v>
      </c>
      <c r="B10" s="338" t="s">
        <v>4</v>
      </c>
      <c r="C10" s="339" t="s">
        <v>4</v>
      </c>
      <c r="G10" s="359" t="s">
        <v>5</v>
      </c>
      <c r="H10" s="362">
        <f>SUM(H2:H9)</f>
        <v>189150129</v>
      </c>
      <c r="I10" s="362">
        <f>SUM(I5:I9)</f>
        <v>79193170</v>
      </c>
    </row>
    <row r="11" spans="1:9">
      <c r="A11" s="334">
        <v>43617</v>
      </c>
      <c r="B11" s="338" t="s">
        <v>4</v>
      </c>
      <c r="C11" s="339" t="s">
        <v>4</v>
      </c>
    </row>
    <row r="12" spans="1:9">
      <c r="A12" s="334">
        <v>43647</v>
      </c>
      <c r="B12" s="338" t="s">
        <v>4</v>
      </c>
      <c r="C12" s="339" t="s">
        <v>4</v>
      </c>
    </row>
    <row r="13" spans="1:9">
      <c r="A13" s="334">
        <v>43678</v>
      </c>
      <c r="B13" s="338" t="s">
        <v>4</v>
      </c>
      <c r="C13" s="339" t="s">
        <v>4</v>
      </c>
    </row>
    <row r="14" spans="1:9">
      <c r="A14" s="334">
        <v>43709</v>
      </c>
      <c r="B14" s="338" t="s">
        <v>4</v>
      </c>
      <c r="C14" s="339" t="s">
        <v>4</v>
      </c>
    </row>
    <row r="15" spans="1:9">
      <c r="A15" s="334">
        <v>43739</v>
      </c>
      <c r="B15" s="338" t="s">
        <v>4</v>
      </c>
      <c r="C15" s="339" t="s">
        <v>4</v>
      </c>
    </row>
    <row r="16" spans="1:9">
      <c r="A16" s="334">
        <v>43770</v>
      </c>
      <c r="B16" s="338" t="s">
        <v>4</v>
      </c>
      <c r="C16" s="339" t="s">
        <v>4</v>
      </c>
    </row>
    <row r="17" spans="1:3">
      <c r="A17" s="334">
        <v>43800</v>
      </c>
      <c r="B17" s="338" t="s">
        <v>4</v>
      </c>
      <c r="C17" s="339" t="s">
        <v>4</v>
      </c>
    </row>
    <row r="18" spans="1:3">
      <c r="A18" s="340" t="s">
        <v>6</v>
      </c>
      <c r="B18" s="355">
        <v>3250000</v>
      </c>
      <c r="C18" s="337"/>
    </row>
    <row r="19" spans="1:3">
      <c r="A19" s="334">
        <v>43831</v>
      </c>
      <c r="B19" s="335">
        <v>223.69</v>
      </c>
      <c r="C19" s="339" t="s">
        <v>4</v>
      </c>
    </row>
    <row r="20" spans="1:3">
      <c r="A20" s="334">
        <v>43862</v>
      </c>
      <c r="B20" s="335">
        <v>292.13600000000002</v>
      </c>
      <c r="C20" s="339" t="s">
        <v>4</v>
      </c>
    </row>
    <row r="21" spans="1:3">
      <c r="A21" s="334">
        <v>43891</v>
      </c>
      <c r="B21" s="335">
        <v>606.71900000000005</v>
      </c>
      <c r="C21" s="339" t="s">
        <v>4</v>
      </c>
    </row>
    <row r="22" spans="1:3">
      <c r="A22" s="334">
        <v>43922</v>
      </c>
      <c r="B22" s="335">
        <v>552.99900000000002</v>
      </c>
      <c r="C22" s="339" t="s">
        <v>4</v>
      </c>
    </row>
    <row r="23" spans="1:3">
      <c r="A23" s="334">
        <v>43952</v>
      </c>
      <c r="B23" s="335">
        <v>369.32499999999999</v>
      </c>
      <c r="C23" s="339" t="s">
        <v>4</v>
      </c>
    </row>
    <row r="24" spans="1:3">
      <c r="A24" s="334">
        <v>43983</v>
      </c>
      <c r="B24" s="335">
        <v>233.434</v>
      </c>
      <c r="C24" s="339" t="s">
        <v>4</v>
      </c>
    </row>
    <row r="25" spans="1:3">
      <c r="A25" s="334">
        <v>44013</v>
      </c>
      <c r="B25" s="335">
        <v>235.285</v>
      </c>
      <c r="C25" s="339" t="s">
        <v>4</v>
      </c>
    </row>
    <row r="26" spans="1:3">
      <c r="A26" s="334">
        <v>44044</v>
      </c>
      <c r="B26" s="335">
        <v>301.45100000000002</v>
      </c>
      <c r="C26" s="339" t="s">
        <v>4</v>
      </c>
    </row>
    <row r="27" spans="1:3">
      <c r="A27" s="334">
        <v>44075</v>
      </c>
      <c r="B27" s="335">
        <v>338.83100000000002</v>
      </c>
      <c r="C27" s="339" t="s">
        <v>4</v>
      </c>
    </row>
    <row r="28" spans="1:3">
      <c r="A28" s="334">
        <v>44105</v>
      </c>
      <c r="B28" s="335">
        <v>380.32799999999997</v>
      </c>
      <c r="C28" s="339" t="s">
        <v>4</v>
      </c>
    </row>
    <row r="29" spans="1:3">
      <c r="A29" s="334">
        <v>44136</v>
      </c>
      <c r="B29" s="335">
        <v>404.40199999999999</v>
      </c>
      <c r="C29" s="339" t="s">
        <v>4</v>
      </c>
    </row>
    <row r="30" spans="1:3">
      <c r="A30" s="334">
        <v>44166</v>
      </c>
      <c r="B30" s="335">
        <v>563.08699999999999</v>
      </c>
      <c r="C30" s="339" t="s">
        <v>4</v>
      </c>
    </row>
    <row r="31" spans="1:3">
      <c r="A31" s="340" t="s">
        <v>7</v>
      </c>
      <c r="B31" s="355">
        <v>4501687</v>
      </c>
      <c r="C31" s="337"/>
    </row>
    <row r="32" spans="1:3">
      <c r="A32" s="334">
        <v>44197</v>
      </c>
      <c r="B32" s="335" t="s">
        <v>8</v>
      </c>
      <c r="C32" s="339" t="s">
        <v>4</v>
      </c>
    </row>
    <row r="33" spans="1:3">
      <c r="A33" s="334">
        <v>44228</v>
      </c>
      <c r="B33" s="335" t="s">
        <v>9</v>
      </c>
      <c r="C33" s="339" t="s">
        <v>4</v>
      </c>
    </row>
    <row r="34" spans="1:3">
      <c r="A34" s="334">
        <v>44256</v>
      </c>
      <c r="B34" s="335" t="s">
        <v>10</v>
      </c>
      <c r="C34" s="339" t="s">
        <v>4</v>
      </c>
    </row>
    <row r="35" spans="1:3">
      <c r="A35" s="334">
        <v>44287</v>
      </c>
      <c r="B35" s="335" t="s">
        <v>11</v>
      </c>
      <c r="C35" s="336" t="s">
        <v>12</v>
      </c>
    </row>
    <row r="36" spans="1:3">
      <c r="A36" s="334">
        <v>44317</v>
      </c>
      <c r="B36" s="335" t="s">
        <v>13</v>
      </c>
      <c r="C36" s="336" t="s">
        <v>14</v>
      </c>
    </row>
    <row r="37" spans="1:3">
      <c r="A37" s="334">
        <v>44348</v>
      </c>
      <c r="B37" s="335" t="s">
        <v>15</v>
      </c>
      <c r="C37" s="336" t="s">
        <v>16</v>
      </c>
    </row>
    <row r="38" spans="1:3">
      <c r="A38" s="334">
        <v>44378</v>
      </c>
      <c r="B38" s="335" t="s">
        <v>17</v>
      </c>
      <c r="C38" s="336" t="s">
        <v>18</v>
      </c>
    </row>
    <row r="39" spans="1:3">
      <c r="A39" s="334">
        <v>44409</v>
      </c>
      <c r="B39" s="335" t="s">
        <v>19</v>
      </c>
      <c r="C39" s="336" t="s">
        <v>20</v>
      </c>
    </row>
    <row r="40" spans="1:3">
      <c r="A40" s="334">
        <v>44440</v>
      </c>
      <c r="B40" s="335" t="s">
        <v>21</v>
      </c>
      <c r="C40" s="336" t="s">
        <v>22</v>
      </c>
    </row>
    <row r="41" spans="1:3">
      <c r="A41" s="334">
        <v>44470</v>
      </c>
      <c r="B41" s="335" t="s">
        <v>23</v>
      </c>
      <c r="C41" s="336" t="s">
        <v>24</v>
      </c>
    </row>
    <row r="42" spans="1:3">
      <c r="A42" s="334">
        <v>44501</v>
      </c>
      <c r="B42" s="335" t="s">
        <v>25</v>
      </c>
      <c r="C42" s="336" t="s">
        <v>26</v>
      </c>
    </row>
    <row r="43" spans="1:3">
      <c r="A43" s="334">
        <v>44531</v>
      </c>
      <c r="B43" s="335" t="s">
        <v>27</v>
      </c>
      <c r="C43" s="336" t="s">
        <v>28</v>
      </c>
    </row>
    <row r="44" spans="1:3">
      <c r="A44" s="342" t="s">
        <v>29</v>
      </c>
      <c r="B44" s="353">
        <v>45340332</v>
      </c>
      <c r="C44" s="354">
        <v>15694007</v>
      </c>
    </row>
    <row r="45" spans="1:3">
      <c r="A45" s="334">
        <v>44562</v>
      </c>
      <c r="B45" s="335" t="s">
        <v>30</v>
      </c>
      <c r="C45" s="336" t="s">
        <v>31</v>
      </c>
    </row>
    <row r="46" spans="1:3">
      <c r="A46" s="334">
        <v>44593</v>
      </c>
      <c r="B46" s="335" t="s">
        <v>32</v>
      </c>
      <c r="C46" s="336" t="s">
        <v>33</v>
      </c>
    </row>
    <row r="47" spans="1:3">
      <c r="A47" s="334">
        <v>44621</v>
      </c>
      <c r="B47" s="335" t="s">
        <v>34</v>
      </c>
      <c r="C47" s="336" t="s">
        <v>35</v>
      </c>
    </row>
    <row r="48" spans="1:3">
      <c r="A48" s="334">
        <v>44652</v>
      </c>
      <c r="B48" s="335" t="s">
        <v>36</v>
      </c>
      <c r="C48" s="336" t="s">
        <v>37</v>
      </c>
    </row>
    <row r="49" spans="1:3">
      <c r="A49" s="334">
        <v>44682</v>
      </c>
      <c r="B49" s="335" t="s">
        <v>38</v>
      </c>
      <c r="C49" s="336" t="s">
        <v>39</v>
      </c>
    </row>
    <row r="50" spans="1:3">
      <c r="A50" s="334">
        <v>44713</v>
      </c>
      <c r="B50" s="335" t="s">
        <v>40</v>
      </c>
      <c r="C50" s="336" t="s">
        <v>41</v>
      </c>
    </row>
    <row r="51" spans="1:3">
      <c r="A51" s="334">
        <v>44743</v>
      </c>
      <c r="B51" s="335" t="s">
        <v>42</v>
      </c>
      <c r="C51" s="336" t="s">
        <v>43</v>
      </c>
    </row>
    <row r="52" spans="1:3">
      <c r="A52" s="334">
        <v>44774</v>
      </c>
      <c r="B52" s="335" t="s">
        <v>44</v>
      </c>
      <c r="C52" s="336" t="s">
        <v>45</v>
      </c>
    </row>
    <row r="53" spans="1:3">
      <c r="A53" s="334">
        <v>44805</v>
      </c>
      <c r="B53" s="335" t="s">
        <v>46</v>
      </c>
      <c r="C53" s="336" t="s">
        <v>47</v>
      </c>
    </row>
    <row r="54" spans="1:3">
      <c r="A54" s="334">
        <v>44835</v>
      </c>
      <c r="B54" s="335" t="s">
        <v>48</v>
      </c>
      <c r="C54" s="336" t="s">
        <v>49</v>
      </c>
    </row>
    <row r="55" spans="1:3">
      <c r="A55" s="334">
        <v>44866</v>
      </c>
      <c r="B55" s="335" t="s">
        <v>50</v>
      </c>
      <c r="C55" s="336" t="s">
        <v>51</v>
      </c>
    </row>
    <row r="56" spans="1:3">
      <c r="A56" s="334">
        <v>44896</v>
      </c>
      <c r="B56" s="335" t="s">
        <v>52</v>
      </c>
      <c r="C56" s="336" t="s">
        <v>53</v>
      </c>
    </row>
    <row r="57" spans="1:3">
      <c r="A57" s="342" t="s">
        <v>54</v>
      </c>
      <c r="B57" s="353">
        <v>58490004</v>
      </c>
      <c r="C57" s="354">
        <v>28049468</v>
      </c>
    </row>
    <row r="58" spans="1:3">
      <c r="A58" s="334">
        <v>44927</v>
      </c>
      <c r="B58" s="335" t="s">
        <v>55</v>
      </c>
      <c r="C58" s="336">
        <v>736.46900000000005</v>
      </c>
    </row>
    <row r="59" spans="1:3">
      <c r="A59" s="334">
        <v>44958</v>
      </c>
      <c r="B59" s="335" t="s">
        <v>56</v>
      </c>
      <c r="C59" s="336">
        <v>553.06799999999998</v>
      </c>
    </row>
    <row r="60" spans="1:3">
      <c r="A60" s="334">
        <v>44986</v>
      </c>
      <c r="B60" s="335" t="s">
        <v>57</v>
      </c>
      <c r="C60" s="336">
        <v>707.01900000000001</v>
      </c>
    </row>
    <row r="61" spans="1:3">
      <c r="A61" s="334">
        <v>45017</v>
      </c>
      <c r="B61" s="335" t="s">
        <v>58</v>
      </c>
      <c r="C61" s="336">
        <v>450.286</v>
      </c>
    </row>
    <row r="62" spans="1:3">
      <c r="A62" s="334">
        <v>45047</v>
      </c>
      <c r="B62" s="335" t="s">
        <v>59</v>
      </c>
      <c r="C62" s="336">
        <v>759.23900000000003</v>
      </c>
    </row>
    <row r="63" spans="1:3">
      <c r="A63" s="334">
        <v>45078</v>
      </c>
      <c r="B63" s="335" t="s">
        <v>60</v>
      </c>
      <c r="C63" s="336" t="s">
        <v>61</v>
      </c>
    </row>
    <row r="64" spans="1:3">
      <c r="A64" s="334">
        <v>45108</v>
      </c>
      <c r="B64" s="335" t="s">
        <v>62</v>
      </c>
      <c r="C64" s="336">
        <v>671.57500000000005</v>
      </c>
    </row>
    <row r="65" spans="1:3">
      <c r="A65" s="334">
        <v>45139</v>
      </c>
      <c r="B65" s="335" t="s">
        <v>63</v>
      </c>
      <c r="C65" s="336" t="s">
        <v>64</v>
      </c>
    </row>
    <row r="66" spans="1:3">
      <c r="A66" s="334">
        <v>45170</v>
      </c>
      <c r="B66" s="335" t="s">
        <v>65</v>
      </c>
      <c r="C66" s="336">
        <v>984.33199999999999</v>
      </c>
    </row>
    <row r="67" spans="1:3">
      <c r="A67" s="334">
        <v>45200</v>
      </c>
      <c r="B67" s="335" t="s">
        <v>66</v>
      </c>
      <c r="C67" s="336">
        <v>791.91300000000001</v>
      </c>
    </row>
    <row r="68" spans="1:3">
      <c r="A68" s="334">
        <v>45231</v>
      </c>
      <c r="B68" s="335" t="s">
        <v>67</v>
      </c>
      <c r="C68" s="336">
        <v>861.12800000000004</v>
      </c>
    </row>
    <row r="69" spans="1:3">
      <c r="A69" s="334">
        <v>45261</v>
      </c>
      <c r="B69" s="335" t="s">
        <v>68</v>
      </c>
      <c r="C69" s="336">
        <v>679.93399999999997</v>
      </c>
    </row>
    <row r="70" spans="1:3">
      <c r="A70" s="342" t="s">
        <v>69</v>
      </c>
      <c r="B70" s="353">
        <v>20721612</v>
      </c>
      <c r="C70" s="354">
        <v>11221898</v>
      </c>
    </row>
    <row r="71" spans="1:3">
      <c r="A71" s="334">
        <v>45292</v>
      </c>
      <c r="B71" s="335" t="s">
        <v>70</v>
      </c>
      <c r="C71" s="336">
        <v>801.98</v>
      </c>
    </row>
    <row r="72" spans="1:3">
      <c r="A72" s="334">
        <v>45323</v>
      </c>
      <c r="B72" s="335" t="s">
        <v>71</v>
      </c>
      <c r="C72" s="336">
        <v>872.10400000000004</v>
      </c>
    </row>
    <row r="73" spans="1:3">
      <c r="A73" s="334">
        <v>45352</v>
      </c>
      <c r="B73" s="335" t="s">
        <v>72</v>
      </c>
      <c r="C73" s="336">
        <v>789.86800000000005</v>
      </c>
    </row>
    <row r="74" spans="1:3">
      <c r="A74" s="334">
        <v>45383</v>
      </c>
      <c r="B74" s="335" t="s">
        <v>73</v>
      </c>
      <c r="C74" s="336">
        <v>862.11900000000003</v>
      </c>
    </row>
    <row r="75" spans="1:3">
      <c r="A75" s="334">
        <v>45413</v>
      </c>
      <c r="B75" s="335" t="s">
        <v>74</v>
      </c>
      <c r="C75" s="336">
        <v>815.09299999999996</v>
      </c>
    </row>
    <row r="76" spans="1:3">
      <c r="A76" s="334">
        <v>45444</v>
      </c>
      <c r="B76" s="335" t="s">
        <v>75</v>
      </c>
      <c r="C76" s="336">
        <v>743.23099999999999</v>
      </c>
    </row>
    <row r="77" spans="1:3">
      <c r="A77" s="334">
        <v>45474</v>
      </c>
      <c r="B77" s="335" t="s">
        <v>76</v>
      </c>
      <c r="C77" s="336">
        <v>882.779</v>
      </c>
    </row>
    <row r="78" spans="1:3">
      <c r="A78" s="334">
        <v>45505</v>
      </c>
      <c r="B78" s="335" t="s">
        <v>77</v>
      </c>
      <c r="C78" s="336">
        <v>894.95500000000004</v>
      </c>
    </row>
    <row r="79" spans="1:3">
      <c r="A79" s="334">
        <v>45536</v>
      </c>
      <c r="B79" s="335" t="s">
        <v>78</v>
      </c>
      <c r="C79" s="336" t="s">
        <v>79</v>
      </c>
    </row>
    <row r="80" spans="1:3">
      <c r="A80" s="334">
        <v>45566</v>
      </c>
      <c r="B80" s="335" t="s">
        <v>80</v>
      </c>
      <c r="C80" s="336" t="s">
        <v>81</v>
      </c>
    </row>
    <row r="81" spans="1:6">
      <c r="A81" s="334">
        <v>45597</v>
      </c>
      <c r="B81" s="335" t="s">
        <v>82</v>
      </c>
      <c r="C81" s="336">
        <v>989.74199999999996</v>
      </c>
    </row>
    <row r="82" spans="1:6">
      <c r="A82" s="334">
        <v>45627</v>
      </c>
      <c r="B82" s="335" t="s">
        <v>83</v>
      </c>
      <c r="C82" s="336">
        <v>896.09400000000005</v>
      </c>
    </row>
    <row r="83" spans="1:6">
      <c r="A83" s="342" t="s">
        <v>84</v>
      </c>
      <c r="B83" s="353">
        <v>24228393</v>
      </c>
      <c r="C83" s="354">
        <v>10731371</v>
      </c>
    </row>
    <row r="84" spans="1:6">
      <c r="A84" s="334">
        <v>45658</v>
      </c>
      <c r="B84" s="351">
        <v>2312153</v>
      </c>
      <c r="C84" s="352">
        <v>986596</v>
      </c>
    </row>
    <row r="85" spans="1:6">
      <c r="A85" s="334">
        <v>45689</v>
      </c>
      <c r="B85" s="351">
        <v>2378329</v>
      </c>
      <c r="C85" s="352">
        <v>1125762</v>
      </c>
    </row>
    <row r="86" spans="1:6">
      <c r="A86" s="334">
        <v>45717</v>
      </c>
      <c r="B86" s="351">
        <v>2484907</v>
      </c>
      <c r="C86" s="352">
        <v>1071346</v>
      </c>
    </row>
    <row r="87" spans="1:6">
      <c r="A87" s="334">
        <v>45748</v>
      </c>
      <c r="B87" s="351">
        <v>2416141</v>
      </c>
      <c r="C87" s="352">
        <v>1695398</v>
      </c>
    </row>
    <row r="88" spans="1:6">
      <c r="A88" s="334">
        <v>45778</v>
      </c>
      <c r="B88" s="351">
        <v>2345936</v>
      </c>
      <c r="C88" s="352">
        <v>1120436</v>
      </c>
    </row>
    <row r="89" spans="1:6">
      <c r="A89" s="334">
        <v>45809</v>
      </c>
      <c r="B89" s="351">
        <v>1683581</v>
      </c>
      <c r="C89" s="352">
        <v>943891</v>
      </c>
      <c r="F89" s="129"/>
    </row>
    <row r="90" spans="1:6">
      <c r="A90" s="334">
        <v>45839</v>
      </c>
      <c r="B90" s="351">
        <v>3170424</v>
      </c>
      <c r="C90" s="352">
        <v>1129852</v>
      </c>
    </row>
    <row r="91" spans="1:6">
      <c r="A91" s="334">
        <v>45870</v>
      </c>
      <c r="B91" s="351">
        <v>3190729</v>
      </c>
      <c r="C91" s="352">
        <v>1011346</v>
      </c>
    </row>
    <row r="92" spans="1:6">
      <c r="A92" s="334">
        <v>45901</v>
      </c>
      <c r="B92" s="351">
        <v>3296654</v>
      </c>
      <c r="C92" s="352">
        <v>1033347</v>
      </c>
    </row>
    <row r="93" spans="1:6">
      <c r="A93" s="334">
        <v>45931</v>
      </c>
      <c r="B93" s="351">
        <v>3224448</v>
      </c>
      <c r="C93" s="352">
        <v>1090278</v>
      </c>
    </row>
    <row r="94" spans="1:6">
      <c r="A94" s="334">
        <v>45962</v>
      </c>
      <c r="B94" s="351">
        <v>3227113</v>
      </c>
      <c r="C94" s="352">
        <v>1162379</v>
      </c>
    </row>
    <row r="95" spans="1:6">
      <c r="A95" s="334">
        <v>45992</v>
      </c>
      <c r="B95" s="351">
        <v>2886971</v>
      </c>
      <c r="C95" s="352">
        <v>1125795</v>
      </c>
    </row>
    <row r="96" spans="1:6">
      <c r="A96" s="342" t="s">
        <v>85</v>
      </c>
      <c r="B96" s="353">
        <f>SUM(B84:B95)</f>
        <v>32617386</v>
      </c>
      <c r="C96" s="354">
        <f>SUM(C84:C95)</f>
        <v>13496426</v>
      </c>
    </row>
    <row r="97" spans="1:3">
      <c r="A97" s="334">
        <v>46023</v>
      </c>
      <c r="B97" s="335"/>
      <c r="C97" s="336"/>
    </row>
    <row r="98" spans="1:3">
      <c r="A98" s="334">
        <v>46054</v>
      </c>
      <c r="B98" s="335"/>
      <c r="C98" s="336"/>
    </row>
    <row r="99" spans="1:3">
      <c r="A99" s="334">
        <v>46082</v>
      </c>
      <c r="B99" s="335"/>
      <c r="C99" s="336"/>
    </row>
    <row r="100" spans="1:3">
      <c r="A100" s="334">
        <v>46113</v>
      </c>
      <c r="B100" s="335"/>
      <c r="C100" s="336"/>
    </row>
    <row r="101" spans="1:3">
      <c r="A101" s="334">
        <v>46143</v>
      </c>
      <c r="B101" s="335"/>
      <c r="C101" s="336"/>
    </row>
    <row r="102" spans="1:3">
      <c r="A102" s="334">
        <v>46174</v>
      </c>
      <c r="B102" s="335"/>
      <c r="C102" s="336"/>
    </row>
    <row r="103" spans="1:3">
      <c r="A103" s="334">
        <v>46204</v>
      </c>
      <c r="B103" s="335"/>
      <c r="C103" s="336"/>
    </row>
    <row r="104" spans="1:3">
      <c r="A104" s="334">
        <v>46235</v>
      </c>
      <c r="B104" s="335"/>
      <c r="C104" s="336"/>
    </row>
    <row r="105" spans="1:3">
      <c r="A105" s="334">
        <v>46266</v>
      </c>
      <c r="B105" s="335"/>
      <c r="C105" s="336"/>
    </row>
    <row r="106" spans="1:3">
      <c r="A106" s="334">
        <v>46296</v>
      </c>
      <c r="B106" s="335"/>
      <c r="C106" s="336"/>
    </row>
    <row r="107" spans="1:3">
      <c r="A107" s="334">
        <v>46327</v>
      </c>
      <c r="B107" s="335"/>
      <c r="C107" s="336"/>
    </row>
    <row r="108" spans="1:3">
      <c r="A108" s="334">
        <v>46357</v>
      </c>
      <c r="B108" s="335"/>
      <c r="C108" s="336"/>
    </row>
    <row r="109" spans="1:3">
      <c r="A109" s="342" t="s">
        <v>86</v>
      </c>
      <c r="B109" s="353">
        <f>SUM(B97:B108)</f>
        <v>0</v>
      </c>
      <c r="C109" s="354">
        <f>SUM(C97:C108)</f>
        <v>0</v>
      </c>
    </row>
    <row r="110" spans="1:3">
      <c r="A110" s="334"/>
      <c r="B110" s="335"/>
      <c r="C110" s="336"/>
    </row>
    <row r="111" spans="1:3">
      <c r="A111" s="334"/>
      <c r="B111" s="335"/>
      <c r="C111" s="336"/>
    </row>
    <row r="112" spans="1:3">
      <c r="A112" s="343"/>
      <c r="B112" s="335"/>
      <c r="C112" s="336"/>
    </row>
    <row r="113" spans="1:3">
      <c r="A113" s="343"/>
      <c r="B113" s="335"/>
      <c r="C113" s="336"/>
    </row>
    <row r="114" spans="1:3">
      <c r="A114" s="343"/>
      <c r="B114" s="335"/>
      <c r="C114" s="336"/>
    </row>
    <row r="115" spans="1:3">
      <c r="A115" s="343"/>
      <c r="B115" s="335"/>
      <c r="C115" s="336"/>
    </row>
    <row r="116" spans="1:3">
      <c r="A116" s="343"/>
      <c r="B116" s="335"/>
      <c r="C116" s="336"/>
    </row>
    <row r="117" spans="1:3">
      <c r="A117" s="343"/>
      <c r="B117" s="335"/>
      <c r="C117" s="336"/>
    </row>
    <row r="118" spans="1:3">
      <c r="A118" s="343"/>
      <c r="B118" s="335"/>
      <c r="C118" s="336"/>
    </row>
    <row r="119" spans="1:3">
      <c r="A119" s="343"/>
      <c r="B119" s="335"/>
      <c r="C119" s="336"/>
    </row>
    <row r="120" spans="1:3">
      <c r="A120" s="343"/>
      <c r="B120" s="335"/>
      <c r="C120" s="336"/>
    </row>
    <row r="121" spans="1:3">
      <c r="A121" s="343"/>
      <c r="B121" s="335"/>
      <c r="C121" s="336"/>
    </row>
    <row r="122" spans="1:3">
      <c r="A122" s="343"/>
      <c r="B122" s="335"/>
      <c r="C122" s="336"/>
    </row>
    <row r="123" spans="1:3">
      <c r="A123" s="343"/>
      <c r="B123" s="335"/>
      <c r="C123" s="336"/>
    </row>
    <row r="124" spans="1:3">
      <c r="A124" s="343"/>
      <c r="B124" s="335"/>
      <c r="C124" s="336"/>
    </row>
    <row r="125" spans="1:3">
      <c r="A125" s="343"/>
      <c r="B125" s="335"/>
      <c r="C125" s="336"/>
    </row>
    <row r="126" spans="1:3">
      <c r="A126" s="343"/>
      <c r="B126" s="335"/>
      <c r="C126" s="336"/>
    </row>
    <row r="127" spans="1:3" ht="14.25" customHeight="1">
      <c r="A127" s="343"/>
      <c r="B127" s="335"/>
      <c r="C127" s="336"/>
    </row>
    <row r="128" spans="1:3">
      <c r="A128" s="343"/>
      <c r="B128" s="335"/>
      <c r="C128" s="336"/>
    </row>
    <row r="129" spans="1:3">
      <c r="A129" s="343"/>
      <c r="B129" s="335"/>
      <c r="C129" s="336"/>
    </row>
    <row r="130" spans="1:3">
      <c r="A130" s="343"/>
      <c r="B130" s="335"/>
      <c r="C130" s="336"/>
    </row>
    <row r="131" spans="1:3">
      <c r="A131" s="343"/>
      <c r="B131" s="335"/>
      <c r="C131" s="336"/>
    </row>
    <row r="132" spans="1:3">
      <c r="A132" s="343"/>
      <c r="B132" s="335"/>
      <c r="C132" s="336"/>
    </row>
    <row r="133" spans="1:3">
      <c r="A133" s="343"/>
      <c r="B133" s="335"/>
      <c r="C133" s="336"/>
    </row>
    <row r="134" spans="1:3">
      <c r="A134" s="343"/>
      <c r="B134" s="335"/>
      <c r="C134" s="336"/>
    </row>
    <row r="135" spans="1:3">
      <c r="A135" s="343"/>
      <c r="B135" s="335"/>
      <c r="C135" s="336"/>
    </row>
    <row r="136" spans="1:3">
      <c r="A136" s="343"/>
      <c r="B136" s="335"/>
      <c r="C136" s="336"/>
    </row>
    <row r="137" spans="1:3">
      <c r="A137" s="343"/>
      <c r="B137" s="335"/>
      <c r="C137" s="336"/>
    </row>
    <row r="138" spans="1:3">
      <c r="A138" s="343"/>
      <c r="B138" s="335"/>
      <c r="C138" s="336"/>
    </row>
    <row r="139" spans="1:3">
      <c r="A139" s="343"/>
      <c r="B139" s="335"/>
      <c r="C139" s="336"/>
    </row>
    <row r="140" spans="1:3">
      <c r="A140" s="343"/>
      <c r="B140" s="335"/>
      <c r="C140" s="336"/>
    </row>
    <row r="141" spans="1:3">
      <c r="A141" s="343"/>
      <c r="B141" s="335"/>
      <c r="C141" s="336"/>
    </row>
    <row r="142" spans="1:3">
      <c r="A142" s="343"/>
      <c r="B142" s="335"/>
      <c r="C142" s="336"/>
    </row>
    <row r="143" spans="1:3">
      <c r="A143" s="343"/>
      <c r="B143" s="335"/>
      <c r="C143" s="336"/>
    </row>
    <row r="144" spans="1:3">
      <c r="A144" s="343"/>
      <c r="B144" s="335"/>
      <c r="C144" s="336"/>
    </row>
    <row r="145" spans="1:3">
      <c r="A145" s="343"/>
      <c r="B145" s="335"/>
      <c r="C145" s="336"/>
    </row>
    <row r="146" spans="1:3">
      <c r="A146" s="343"/>
      <c r="B146" s="335"/>
      <c r="C146" s="336"/>
    </row>
    <row r="147" spans="1:3">
      <c r="A147" s="343"/>
      <c r="B147" s="335"/>
      <c r="C147" s="336"/>
    </row>
    <row r="148" spans="1:3">
      <c r="A148" s="343"/>
      <c r="B148" s="335"/>
      <c r="C148" s="336"/>
    </row>
    <row r="149" spans="1:3">
      <c r="A149" s="343"/>
      <c r="B149" s="335"/>
      <c r="C149" s="336"/>
    </row>
    <row r="150" spans="1:3">
      <c r="A150" s="343"/>
      <c r="B150" s="335"/>
      <c r="C150" s="336"/>
    </row>
    <row r="151" spans="1:3">
      <c r="A151" s="343"/>
      <c r="B151" s="335"/>
      <c r="C151" s="336"/>
    </row>
    <row r="152" spans="1:3">
      <c r="A152" s="343"/>
      <c r="B152" s="335"/>
      <c r="C152" s="336"/>
    </row>
    <row r="153" spans="1:3">
      <c r="A153" s="343"/>
      <c r="B153" s="335"/>
      <c r="C153" s="336"/>
    </row>
    <row r="154" spans="1:3">
      <c r="A154" s="343"/>
      <c r="B154" s="335"/>
      <c r="C154" s="336"/>
    </row>
    <row r="155" spans="1:3">
      <c r="A155" s="343"/>
      <c r="B155" s="335"/>
      <c r="C155" s="336"/>
    </row>
    <row r="156" spans="1:3">
      <c r="A156" s="343"/>
      <c r="B156" s="335"/>
      <c r="C156" s="336"/>
    </row>
    <row r="157" spans="1:3">
      <c r="A157" s="343"/>
      <c r="B157" s="335"/>
      <c r="C157" s="336"/>
    </row>
    <row r="158" spans="1:3">
      <c r="A158" s="343"/>
      <c r="B158" s="335"/>
      <c r="C158" s="336"/>
    </row>
    <row r="159" spans="1:3">
      <c r="A159" s="343"/>
      <c r="B159" s="335"/>
      <c r="C159" s="336"/>
    </row>
    <row r="160" spans="1:3">
      <c r="A160" s="343"/>
      <c r="B160" s="335"/>
      <c r="C160" s="336"/>
    </row>
    <row r="161" spans="1:3">
      <c r="A161" s="343"/>
      <c r="B161" s="335"/>
      <c r="C161" s="336"/>
    </row>
    <row r="162" spans="1:3">
      <c r="A162" s="343"/>
      <c r="B162" s="335"/>
      <c r="C162" s="336"/>
    </row>
    <row r="163" spans="1:3">
      <c r="A163" s="343"/>
      <c r="B163" s="335"/>
      <c r="C163" s="336"/>
    </row>
    <row r="164" spans="1:3">
      <c r="A164" s="343"/>
      <c r="B164" s="335"/>
      <c r="C164" s="336"/>
    </row>
    <row r="165" spans="1:3">
      <c r="A165" s="343"/>
      <c r="B165" s="335"/>
      <c r="C165" s="336"/>
    </row>
    <row r="166" spans="1:3">
      <c r="A166" s="343"/>
      <c r="B166" s="335"/>
      <c r="C166" s="336"/>
    </row>
    <row r="167" spans="1:3">
      <c r="A167" s="343"/>
      <c r="B167" s="335"/>
      <c r="C167" s="336"/>
    </row>
    <row r="168" spans="1:3">
      <c r="A168" s="343"/>
      <c r="B168" s="335"/>
      <c r="C168" s="336"/>
    </row>
    <row r="169" spans="1:3">
      <c r="A169" s="343"/>
      <c r="B169" s="335"/>
      <c r="C169" s="336"/>
    </row>
    <row r="170" spans="1:3">
      <c r="A170" s="343"/>
      <c r="B170" s="335"/>
      <c r="C170" s="336"/>
    </row>
    <row r="171" spans="1:3">
      <c r="A171" s="343"/>
      <c r="B171" s="335"/>
      <c r="C171" s="336"/>
    </row>
    <row r="172" spans="1:3">
      <c r="A172" s="343"/>
      <c r="B172" s="335"/>
      <c r="C172" s="336"/>
    </row>
    <row r="173" spans="1:3">
      <c r="A173" s="343"/>
      <c r="B173" s="335"/>
      <c r="C173" s="336"/>
    </row>
    <row r="174" spans="1:3">
      <c r="A174" s="343"/>
      <c r="B174" s="335"/>
      <c r="C174" s="336"/>
    </row>
    <row r="175" spans="1:3">
      <c r="A175" s="343"/>
      <c r="B175" s="335"/>
      <c r="C175" s="336"/>
    </row>
    <row r="176" spans="1:3">
      <c r="A176" s="343"/>
      <c r="B176" s="335"/>
      <c r="C176" s="336"/>
    </row>
    <row r="177" spans="1:3">
      <c r="A177" s="343"/>
      <c r="B177" s="335"/>
      <c r="C177" s="336"/>
    </row>
    <row r="178" spans="1:3">
      <c r="A178" s="343"/>
      <c r="B178" s="335"/>
      <c r="C178" s="336"/>
    </row>
    <row r="179" spans="1:3">
      <c r="A179" s="343"/>
      <c r="B179" s="335"/>
      <c r="C179" s="336"/>
    </row>
    <row r="180" spans="1:3">
      <c r="A180" s="343"/>
      <c r="B180" s="335"/>
      <c r="C180" s="336"/>
    </row>
    <row r="181" spans="1:3">
      <c r="A181" s="343"/>
      <c r="B181" s="335"/>
      <c r="C181" s="336"/>
    </row>
    <row r="182" spans="1:3">
      <c r="A182" s="343"/>
      <c r="B182" s="335"/>
      <c r="C182" s="336"/>
    </row>
    <row r="183" spans="1:3">
      <c r="A183" s="343"/>
      <c r="B183" s="335"/>
      <c r="C183" s="336"/>
    </row>
    <row r="184" spans="1:3">
      <c r="A184" s="343"/>
      <c r="B184" s="335"/>
      <c r="C184" s="336"/>
    </row>
    <row r="185" spans="1:3">
      <c r="A185" s="343"/>
      <c r="B185" s="335"/>
      <c r="C185" s="336"/>
    </row>
    <row r="186" spans="1:3">
      <c r="A186" s="343"/>
      <c r="B186" s="335"/>
      <c r="C186" s="336"/>
    </row>
    <row r="187" spans="1:3">
      <c r="A187" s="343"/>
      <c r="B187" s="335"/>
      <c r="C187" s="336"/>
    </row>
    <row r="188" spans="1:3">
      <c r="A188" s="343"/>
      <c r="B188" s="335"/>
      <c r="C188" s="336"/>
    </row>
    <row r="189" spans="1:3">
      <c r="A189" s="343"/>
      <c r="B189" s="335"/>
      <c r="C189" s="336"/>
    </row>
    <row r="190" spans="1:3">
      <c r="A190" s="343"/>
      <c r="B190" s="335"/>
      <c r="C190" s="336"/>
    </row>
    <row r="191" spans="1:3">
      <c r="A191" s="343"/>
      <c r="B191" s="335"/>
      <c r="C191" s="336"/>
    </row>
    <row r="192" spans="1:3">
      <c r="A192" s="343"/>
      <c r="B192" s="335"/>
      <c r="C192" s="336"/>
    </row>
    <row r="193" spans="1:3">
      <c r="A193" s="343"/>
      <c r="B193" s="335"/>
      <c r="C193" s="336"/>
    </row>
    <row r="194" spans="1:3">
      <c r="A194" s="343"/>
      <c r="B194" s="335"/>
      <c r="C194" s="336"/>
    </row>
    <row r="195" spans="1:3">
      <c r="A195" s="343"/>
      <c r="B195" s="335"/>
      <c r="C195" s="336"/>
    </row>
    <row r="196" spans="1:3">
      <c r="A196" s="343"/>
      <c r="B196" s="335"/>
      <c r="C196" s="336"/>
    </row>
    <row r="197" spans="1:3">
      <c r="A197" s="343"/>
      <c r="B197" s="335"/>
      <c r="C197" s="336"/>
    </row>
    <row r="198" spans="1:3">
      <c r="A198" s="343"/>
      <c r="B198" s="335"/>
      <c r="C198" s="336"/>
    </row>
    <row r="199" spans="1:3">
      <c r="A199" s="343"/>
      <c r="B199" s="335"/>
      <c r="C199" s="336"/>
    </row>
    <row r="200" spans="1:3">
      <c r="A200" s="343"/>
      <c r="B200" s="335"/>
      <c r="C200" s="336"/>
    </row>
    <row r="201" spans="1:3">
      <c r="A201" s="343"/>
      <c r="B201" s="335"/>
      <c r="C201" s="336"/>
    </row>
    <row r="202" spans="1:3">
      <c r="A202" s="343"/>
      <c r="B202" s="335"/>
      <c r="C202" s="336"/>
    </row>
    <row r="203" spans="1:3">
      <c r="A203" s="343"/>
      <c r="B203" s="335"/>
      <c r="C203" s="336"/>
    </row>
    <row r="204" spans="1:3">
      <c r="A204" s="343"/>
      <c r="B204" s="335"/>
      <c r="C204" s="336"/>
    </row>
    <row r="205" spans="1:3">
      <c r="A205" s="343"/>
      <c r="B205" s="335"/>
      <c r="C205" s="336"/>
    </row>
    <row r="206" spans="1:3">
      <c r="A206" s="343"/>
      <c r="B206" s="335"/>
      <c r="C206" s="336"/>
    </row>
    <row r="207" spans="1:3">
      <c r="A207" s="343"/>
      <c r="B207" s="335"/>
      <c r="C207" s="336"/>
    </row>
    <row r="208" spans="1:3">
      <c r="A208" s="343"/>
      <c r="B208" s="335"/>
      <c r="C208" s="336"/>
    </row>
    <row r="209" spans="1:3">
      <c r="A209" s="343"/>
      <c r="B209" s="335"/>
      <c r="C209" s="336"/>
    </row>
    <row r="210" spans="1:3">
      <c r="A210" s="343"/>
      <c r="B210" s="335"/>
      <c r="C210" s="336"/>
    </row>
    <row r="211" spans="1:3">
      <c r="A211" s="343"/>
      <c r="B211" s="335"/>
      <c r="C211" s="336"/>
    </row>
    <row r="212" spans="1:3">
      <c r="A212" s="343"/>
      <c r="B212" s="335"/>
      <c r="C212" s="336"/>
    </row>
    <row r="213" spans="1:3">
      <c r="A213" s="343"/>
      <c r="B213" s="335"/>
      <c r="C213" s="336"/>
    </row>
    <row r="214" spans="1:3">
      <c r="A214" s="343"/>
      <c r="B214" s="335"/>
      <c r="C214" s="336"/>
    </row>
    <row r="215" spans="1:3">
      <c r="A215" s="343"/>
      <c r="B215" s="335"/>
      <c r="C215" s="336"/>
    </row>
    <row r="216" spans="1:3">
      <c r="A216" s="343"/>
      <c r="B216" s="335"/>
      <c r="C216" s="336"/>
    </row>
    <row r="217" spans="1:3">
      <c r="A217" s="343"/>
      <c r="B217" s="335"/>
      <c r="C217" s="336"/>
    </row>
    <row r="218" spans="1:3">
      <c r="A218" s="343"/>
      <c r="B218" s="335"/>
      <c r="C218" s="336"/>
    </row>
    <row r="219" spans="1:3">
      <c r="A219" s="343"/>
      <c r="B219" s="335"/>
      <c r="C219" s="336"/>
    </row>
    <row r="220" spans="1:3">
      <c r="A220" s="343"/>
      <c r="B220" s="335"/>
      <c r="C220" s="336"/>
    </row>
    <row r="221" spans="1:3">
      <c r="A221" s="343"/>
      <c r="B221" s="335"/>
      <c r="C221" s="336"/>
    </row>
    <row r="222" spans="1:3">
      <c r="A222" s="343"/>
      <c r="B222" s="335"/>
      <c r="C222" s="336"/>
    </row>
    <row r="223" spans="1:3">
      <c r="A223" s="343"/>
      <c r="B223" s="335"/>
      <c r="C223" s="336"/>
    </row>
    <row r="224" spans="1:3">
      <c r="A224" s="343"/>
      <c r="B224" s="335"/>
      <c r="C224" s="336"/>
    </row>
    <row r="225" spans="1:3">
      <c r="A225" s="343"/>
      <c r="B225" s="335"/>
      <c r="C225" s="336"/>
    </row>
    <row r="226" spans="1:3">
      <c r="A226" s="343"/>
      <c r="B226" s="335"/>
      <c r="C226" s="336"/>
    </row>
    <row r="227" spans="1:3">
      <c r="A227" s="343"/>
      <c r="B227" s="335"/>
      <c r="C227" s="336"/>
    </row>
    <row r="228" spans="1:3">
      <c r="A228" s="343"/>
      <c r="B228" s="335"/>
      <c r="C228" s="336"/>
    </row>
    <row r="229" spans="1:3">
      <c r="A229" s="343"/>
      <c r="B229" s="335"/>
      <c r="C229" s="336"/>
    </row>
    <row r="230" spans="1:3">
      <c r="A230" s="343"/>
      <c r="B230" s="335"/>
      <c r="C230" s="336"/>
    </row>
    <row r="231" spans="1:3">
      <c r="A231" s="343"/>
      <c r="B231" s="335"/>
      <c r="C231" s="336"/>
    </row>
    <row r="232" spans="1:3">
      <c r="A232" s="343"/>
      <c r="B232" s="335"/>
      <c r="C232" s="336"/>
    </row>
    <row r="233" spans="1:3">
      <c r="A233" s="343"/>
      <c r="B233" s="335"/>
      <c r="C233" s="336"/>
    </row>
    <row r="234" spans="1:3">
      <c r="A234" s="343"/>
      <c r="B234" s="335"/>
      <c r="C234" s="336"/>
    </row>
    <row r="235" spans="1:3">
      <c r="A235" s="343"/>
      <c r="B235" s="335"/>
      <c r="C235" s="336"/>
    </row>
    <row r="236" spans="1:3">
      <c r="A236" s="343"/>
      <c r="B236" s="335"/>
      <c r="C236" s="336"/>
    </row>
    <row r="237" spans="1:3">
      <c r="A237" s="343"/>
      <c r="B237" s="335"/>
      <c r="C237" s="336"/>
    </row>
    <row r="238" spans="1:3">
      <c r="A238" s="343"/>
      <c r="B238" s="335"/>
      <c r="C238" s="336"/>
    </row>
    <row r="239" spans="1:3">
      <c r="A239" s="343"/>
      <c r="B239" s="335"/>
      <c r="C239" s="336"/>
    </row>
    <row r="240" spans="1:3">
      <c r="A240" s="343"/>
      <c r="B240" s="335"/>
      <c r="C240" s="336"/>
    </row>
    <row r="241" spans="1:3">
      <c r="A241" s="343"/>
      <c r="B241" s="335"/>
      <c r="C241" s="336"/>
    </row>
    <row r="242" spans="1:3">
      <c r="A242" s="343"/>
      <c r="B242" s="335"/>
      <c r="C242" s="336"/>
    </row>
    <row r="243" spans="1:3">
      <c r="A243" s="343"/>
      <c r="B243" s="335"/>
      <c r="C243" s="336"/>
    </row>
    <row r="244" spans="1:3">
      <c r="A244" s="343"/>
      <c r="B244" s="335"/>
      <c r="C244" s="336"/>
    </row>
    <row r="245" spans="1:3">
      <c r="A245" s="343"/>
      <c r="B245" s="335"/>
      <c r="C245" s="336"/>
    </row>
    <row r="246" spans="1:3">
      <c r="A246" s="343"/>
      <c r="B246" s="335"/>
      <c r="C246" s="336"/>
    </row>
    <row r="247" spans="1:3">
      <c r="A247" s="343"/>
      <c r="B247" s="335"/>
      <c r="C247" s="336"/>
    </row>
    <row r="248" spans="1:3">
      <c r="A248" s="343"/>
      <c r="B248" s="335"/>
      <c r="C248" s="336"/>
    </row>
    <row r="249" spans="1:3">
      <c r="A249" s="343"/>
      <c r="B249" s="335"/>
      <c r="C249" s="336"/>
    </row>
    <row r="250" spans="1:3">
      <c r="A250" s="343"/>
      <c r="B250" s="335"/>
      <c r="C250" s="336"/>
    </row>
    <row r="251" spans="1:3">
      <c r="A251" s="343"/>
      <c r="B251" s="335"/>
      <c r="C251" s="336"/>
    </row>
    <row r="252" spans="1:3">
      <c r="A252" s="343"/>
      <c r="B252" s="335"/>
      <c r="C252" s="336"/>
    </row>
    <row r="253" spans="1:3">
      <c r="A253" s="343"/>
      <c r="B253" s="335"/>
      <c r="C253" s="336"/>
    </row>
    <row r="254" spans="1:3">
      <c r="A254" s="343"/>
      <c r="B254" s="335"/>
      <c r="C254" s="336"/>
    </row>
    <row r="255" spans="1:3">
      <c r="A255" s="343"/>
      <c r="B255" s="335"/>
      <c r="C255" s="336"/>
    </row>
    <row r="256" spans="1:3">
      <c r="A256" s="343"/>
      <c r="B256" s="335"/>
      <c r="C256" s="336"/>
    </row>
    <row r="257" spans="1:3">
      <c r="A257" s="343"/>
      <c r="B257" s="335"/>
      <c r="C257" s="336"/>
    </row>
    <row r="258" spans="1:3">
      <c r="A258" s="343"/>
      <c r="B258" s="335"/>
      <c r="C258" s="336"/>
    </row>
    <row r="259" spans="1:3">
      <c r="A259" s="343"/>
      <c r="B259" s="335"/>
      <c r="C259" s="336"/>
    </row>
    <row r="260" spans="1:3">
      <c r="A260" s="343"/>
      <c r="B260" s="335"/>
      <c r="C260" s="336"/>
    </row>
    <row r="261" spans="1:3">
      <c r="A261" s="343"/>
      <c r="B261" s="335"/>
      <c r="C261" s="336"/>
    </row>
    <row r="262" spans="1:3">
      <c r="A262" s="343"/>
      <c r="B262" s="335"/>
      <c r="C262" s="336"/>
    </row>
    <row r="263" spans="1:3">
      <c r="A263" s="343"/>
      <c r="B263" s="335"/>
      <c r="C263" s="336"/>
    </row>
    <row r="264" spans="1:3">
      <c r="A264" s="343"/>
      <c r="B264" s="335"/>
      <c r="C264" s="336"/>
    </row>
    <row r="265" spans="1:3">
      <c r="A265" s="343"/>
      <c r="B265" s="335"/>
      <c r="C265" s="336"/>
    </row>
    <row r="266" spans="1:3">
      <c r="A266" s="343"/>
      <c r="B266" s="335"/>
      <c r="C266" s="336"/>
    </row>
    <row r="267" spans="1:3">
      <c r="A267" s="343"/>
      <c r="B267" s="335"/>
      <c r="C267" s="336"/>
    </row>
    <row r="268" spans="1:3">
      <c r="A268" s="343"/>
      <c r="B268" s="335"/>
      <c r="C268" s="336"/>
    </row>
    <row r="269" spans="1:3">
      <c r="A269" s="343"/>
      <c r="B269" s="335"/>
      <c r="C269" s="336"/>
    </row>
    <row r="270" spans="1:3">
      <c r="A270" s="343"/>
      <c r="B270" s="335"/>
      <c r="C270" s="336"/>
    </row>
    <row r="271" spans="1:3">
      <c r="A271" s="343"/>
      <c r="B271" s="335"/>
      <c r="C271" s="336"/>
    </row>
    <row r="272" spans="1:3">
      <c r="A272" s="343"/>
      <c r="B272" s="335"/>
      <c r="C272" s="336"/>
    </row>
    <row r="273" spans="1:3">
      <c r="A273" s="343"/>
      <c r="B273" s="335"/>
      <c r="C273" s="336"/>
    </row>
    <row r="274" spans="1:3">
      <c r="A274" s="343"/>
      <c r="B274" s="335"/>
      <c r="C274" s="336"/>
    </row>
    <row r="275" spans="1:3">
      <c r="A275" s="343"/>
      <c r="B275" s="335"/>
      <c r="C275" s="336"/>
    </row>
    <row r="276" spans="1:3">
      <c r="A276" s="343"/>
      <c r="B276" s="335"/>
      <c r="C276" s="336"/>
    </row>
    <row r="277" spans="1:3">
      <c r="A277" s="343"/>
      <c r="B277" s="335"/>
      <c r="C277" s="336"/>
    </row>
    <row r="278" spans="1:3">
      <c r="A278" s="343"/>
      <c r="B278" s="335"/>
      <c r="C278" s="336"/>
    </row>
    <row r="279" spans="1:3">
      <c r="A279" s="343"/>
      <c r="B279" s="335"/>
      <c r="C279" s="336"/>
    </row>
    <row r="280" spans="1:3">
      <c r="A280" s="343"/>
      <c r="B280" s="335"/>
      <c r="C280" s="336"/>
    </row>
    <row r="281" spans="1:3">
      <c r="A281" s="343"/>
      <c r="B281" s="335"/>
      <c r="C281" s="336"/>
    </row>
    <row r="282" spans="1:3">
      <c r="A282" s="343"/>
      <c r="B282" s="335"/>
      <c r="C282" s="336"/>
    </row>
    <row r="283" spans="1:3">
      <c r="A283" s="343"/>
      <c r="B283" s="335"/>
      <c r="C283" s="336"/>
    </row>
    <row r="284" spans="1:3">
      <c r="A284" s="343"/>
      <c r="B284" s="335"/>
      <c r="C284" s="336"/>
    </row>
    <row r="285" spans="1:3">
      <c r="A285" s="343"/>
      <c r="B285" s="335"/>
      <c r="C285" s="336"/>
    </row>
    <row r="286" spans="1:3">
      <c r="A286" s="343"/>
      <c r="B286" s="335"/>
      <c r="C286" s="336"/>
    </row>
    <row r="287" spans="1:3">
      <c r="A287" s="343"/>
      <c r="B287" s="335"/>
      <c r="C287" s="336"/>
    </row>
    <row r="288" spans="1:3">
      <c r="A288" s="343"/>
      <c r="B288" s="335"/>
      <c r="C288" s="336"/>
    </row>
    <row r="289" spans="1:3">
      <c r="A289" s="343"/>
      <c r="B289" s="335"/>
      <c r="C289" s="336"/>
    </row>
    <row r="290" spans="1:3">
      <c r="A290" s="343"/>
      <c r="B290" s="335"/>
      <c r="C290" s="336"/>
    </row>
    <row r="291" spans="1:3">
      <c r="A291" s="343"/>
      <c r="B291" s="335"/>
      <c r="C291" s="336"/>
    </row>
    <row r="292" spans="1:3">
      <c r="A292" s="343"/>
      <c r="B292" s="335"/>
      <c r="C292" s="336"/>
    </row>
    <row r="293" spans="1:3">
      <c r="A293" s="343"/>
      <c r="B293" s="335"/>
      <c r="C293" s="336"/>
    </row>
    <row r="294" spans="1:3">
      <c r="A294" s="343"/>
      <c r="B294" s="335"/>
      <c r="C294" s="336"/>
    </row>
    <row r="295" spans="1:3">
      <c r="A295" s="343"/>
      <c r="B295" s="335"/>
      <c r="C295" s="336"/>
    </row>
    <row r="296" spans="1:3">
      <c r="A296" s="343"/>
      <c r="B296" s="335"/>
      <c r="C296" s="336"/>
    </row>
    <row r="297" spans="1:3">
      <c r="A297" s="343"/>
      <c r="B297" s="335"/>
      <c r="C297" s="336"/>
    </row>
    <row r="298" spans="1:3">
      <c r="A298" s="343"/>
      <c r="B298" s="335"/>
      <c r="C298" s="336"/>
    </row>
    <row r="299" spans="1:3">
      <c r="A299" s="343"/>
      <c r="B299" s="335"/>
      <c r="C299" s="336"/>
    </row>
    <row r="300" spans="1:3">
      <c r="A300" s="343"/>
      <c r="B300" s="335"/>
      <c r="C300" s="336"/>
    </row>
    <row r="301" spans="1:3">
      <c r="A301" s="343"/>
      <c r="B301" s="335"/>
      <c r="C301" s="336"/>
    </row>
    <row r="302" spans="1:3">
      <c r="A302" s="343"/>
      <c r="B302" s="335"/>
      <c r="C302" s="336"/>
    </row>
    <row r="303" spans="1:3">
      <c r="A303" s="343"/>
      <c r="B303" s="335"/>
      <c r="C303" s="336"/>
    </row>
    <row r="304" spans="1:3">
      <c r="A304" s="343"/>
      <c r="B304" s="335"/>
      <c r="C304" s="336"/>
    </row>
    <row r="305" spans="1:3">
      <c r="A305" s="343"/>
      <c r="B305" s="335"/>
      <c r="C305" s="336"/>
    </row>
    <row r="306" spans="1:3">
      <c r="A306" s="343"/>
      <c r="B306" s="335"/>
      <c r="C306" s="336"/>
    </row>
    <row r="307" spans="1:3">
      <c r="A307" s="343"/>
      <c r="B307" s="335"/>
      <c r="C307" s="336"/>
    </row>
    <row r="308" spans="1:3">
      <c r="A308" s="343"/>
      <c r="B308" s="335"/>
      <c r="C308" s="336"/>
    </row>
    <row r="309" spans="1:3">
      <c r="A309" s="343"/>
      <c r="B309" s="335"/>
      <c r="C309" s="336"/>
    </row>
    <row r="310" spans="1:3">
      <c r="A310" s="343"/>
      <c r="B310" s="335"/>
      <c r="C310" s="336"/>
    </row>
    <row r="311" spans="1:3">
      <c r="A311" s="343"/>
      <c r="B311" s="335"/>
      <c r="C311" s="336"/>
    </row>
    <row r="312" spans="1:3">
      <c r="A312" s="343"/>
      <c r="B312" s="335"/>
      <c r="C312" s="336"/>
    </row>
    <row r="313" spans="1:3">
      <c r="A313" s="343"/>
      <c r="B313" s="335"/>
      <c r="C313" s="336"/>
    </row>
    <row r="314" spans="1:3">
      <c r="A314" s="343"/>
      <c r="B314" s="335"/>
      <c r="C314" s="336"/>
    </row>
    <row r="315" spans="1:3">
      <c r="A315" s="343"/>
      <c r="B315" s="335"/>
      <c r="C315" s="336"/>
    </row>
    <row r="316" spans="1:3">
      <c r="A316" s="343"/>
      <c r="B316" s="335"/>
      <c r="C316" s="336"/>
    </row>
    <row r="317" spans="1:3">
      <c r="A317" s="343"/>
      <c r="B317" s="335"/>
      <c r="C317" s="336"/>
    </row>
    <row r="318" spans="1:3">
      <c r="A318" s="343"/>
      <c r="B318" s="335"/>
      <c r="C318" s="336"/>
    </row>
    <row r="319" spans="1:3">
      <c r="A319" s="343"/>
      <c r="B319" s="335"/>
      <c r="C319" s="336"/>
    </row>
    <row r="320" spans="1:3">
      <c r="A320" s="343"/>
      <c r="B320" s="335"/>
      <c r="C320" s="336"/>
    </row>
    <row r="321" spans="1:3">
      <c r="A321" s="343"/>
      <c r="B321" s="335"/>
      <c r="C321" s="336"/>
    </row>
    <row r="322" spans="1:3">
      <c r="A322" s="343"/>
      <c r="B322" s="335"/>
      <c r="C322" s="336"/>
    </row>
    <row r="323" spans="1:3">
      <c r="A323" s="343"/>
      <c r="B323" s="335"/>
      <c r="C323" s="336"/>
    </row>
    <row r="324" spans="1:3">
      <c r="A324" s="343"/>
      <c r="B324" s="335"/>
      <c r="C324" s="336"/>
    </row>
    <row r="325" spans="1:3">
      <c r="A325" s="343"/>
      <c r="B325" s="335"/>
      <c r="C325" s="336"/>
    </row>
    <row r="326" spans="1:3">
      <c r="A326" s="343"/>
      <c r="B326" s="335"/>
      <c r="C326" s="336"/>
    </row>
    <row r="327" spans="1:3">
      <c r="A327" s="343"/>
      <c r="B327" s="335"/>
      <c r="C327" s="336"/>
    </row>
    <row r="328" spans="1:3">
      <c r="A328" s="343"/>
      <c r="B328" s="335"/>
      <c r="C328" s="336"/>
    </row>
    <row r="329" spans="1:3">
      <c r="A329" s="343"/>
      <c r="B329" s="335"/>
      <c r="C329" s="336"/>
    </row>
    <row r="330" spans="1:3">
      <c r="A330" s="343"/>
      <c r="B330" s="335"/>
      <c r="C330" s="336"/>
    </row>
    <row r="331" spans="1:3">
      <c r="A331" s="343"/>
      <c r="B331" s="335"/>
      <c r="C331" s="336"/>
    </row>
    <row r="332" spans="1:3">
      <c r="A332" s="343"/>
      <c r="B332" s="335"/>
      <c r="C332" s="336"/>
    </row>
    <row r="333" spans="1:3">
      <c r="A333" s="343"/>
      <c r="B333" s="335"/>
      <c r="C333" s="336"/>
    </row>
    <row r="334" spans="1:3">
      <c r="A334" s="343"/>
      <c r="B334" s="335"/>
      <c r="C334" s="336"/>
    </row>
    <row r="335" spans="1:3">
      <c r="A335" s="343"/>
      <c r="B335" s="335"/>
      <c r="C335" s="336"/>
    </row>
    <row r="336" spans="1:3">
      <c r="A336" s="343"/>
      <c r="B336" s="335"/>
      <c r="C336" s="336"/>
    </row>
    <row r="337" spans="1:3">
      <c r="A337" s="343"/>
      <c r="B337" s="335"/>
      <c r="C337" s="336"/>
    </row>
    <row r="338" spans="1:3">
      <c r="A338" s="343"/>
      <c r="B338" s="335"/>
      <c r="C338" s="336"/>
    </row>
    <row r="339" spans="1:3">
      <c r="A339" s="343"/>
      <c r="B339" s="335"/>
      <c r="C339" s="336"/>
    </row>
    <row r="340" spans="1:3">
      <c r="A340" s="343"/>
      <c r="B340" s="335"/>
      <c r="C340" s="336"/>
    </row>
    <row r="341" spans="1:3">
      <c r="A341" s="343"/>
      <c r="B341" s="335"/>
      <c r="C341" s="336"/>
    </row>
    <row r="342" spans="1:3">
      <c r="A342" s="343"/>
      <c r="B342" s="335"/>
      <c r="C342" s="336"/>
    </row>
    <row r="343" spans="1:3">
      <c r="A343" s="343"/>
      <c r="B343" s="335"/>
      <c r="C343" s="336"/>
    </row>
    <row r="344" spans="1:3">
      <c r="A344" s="343"/>
      <c r="B344" s="335"/>
      <c r="C344" s="336"/>
    </row>
    <row r="345" spans="1:3">
      <c r="A345" s="343"/>
      <c r="B345" s="335"/>
      <c r="C345" s="336"/>
    </row>
    <row r="346" spans="1:3">
      <c r="A346" s="343"/>
      <c r="B346" s="335"/>
      <c r="C346" s="336"/>
    </row>
    <row r="347" spans="1:3">
      <c r="A347" s="343"/>
      <c r="B347" s="335"/>
      <c r="C347" s="336"/>
    </row>
    <row r="348" spans="1:3">
      <c r="A348" s="343"/>
      <c r="B348" s="335"/>
      <c r="C348" s="336"/>
    </row>
    <row r="349" spans="1:3">
      <c r="A349" s="343"/>
      <c r="B349" s="335"/>
      <c r="C349" s="336"/>
    </row>
    <row r="350" spans="1:3">
      <c r="A350" s="343"/>
      <c r="B350" s="335"/>
      <c r="C350" s="336"/>
    </row>
    <row r="351" spans="1:3">
      <c r="A351" s="343"/>
      <c r="B351" s="335"/>
      <c r="C351" s="336"/>
    </row>
    <row r="352" spans="1:3">
      <c r="A352" s="343"/>
      <c r="B352" s="335"/>
      <c r="C352" s="336"/>
    </row>
    <row r="353" spans="1:3">
      <c r="A353" s="343"/>
      <c r="B353" s="335"/>
      <c r="C353" s="336"/>
    </row>
    <row r="354" spans="1:3">
      <c r="A354" s="343"/>
      <c r="B354" s="335"/>
      <c r="C354" s="336"/>
    </row>
    <row r="355" spans="1:3">
      <c r="A355" s="343"/>
      <c r="B355" s="335"/>
      <c r="C355" s="336"/>
    </row>
    <row r="356" spans="1:3">
      <c r="A356" s="343"/>
      <c r="B356" s="335"/>
      <c r="C356" s="336"/>
    </row>
    <row r="357" spans="1:3">
      <c r="A357" s="343"/>
      <c r="B357" s="335"/>
      <c r="C357" s="336"/>
    </row>
    <row r="358" spans="1:3">
      <c r="A358" s="343"/>
      <c r="B358" s="335"/>
      <c r="C358" s="336"/>
    </row>
    <row r="359" spans="1:3">
      <c r="A359" s="343"/>
      <c r="B359" s="335"/>
      <c r="C359" s="336"/>
    </row>
    <row r="360" spans="1:3">
      <c r="A360" s="343"/>
      <c r="B360" s="335"/>
      <c r="C360" s="336"/>
    </row>
    <row r="361" spans="1:3">
      <c r="A361" s="343"/>
      <c r="B361" s="335"/>
      <c r="C361" s="336"/>
    </row>
    <row r="362" spans="1:3">
      <c r="A362" s="343"/>
      <c r="B362" s="335"/>
      <c r="C362" s="336"/>
    </row>
    <row r="363" spans="1:3">
      <c r="A363" s="343"/>
      <c r="B363" s="335"/>
      <c r="C363" s="336"/>
    </row>
    <row r="364" spans="1:3">
      <c r="A364" s="343"/>
      <c r="B364" s="335"/>
      <c r="C364" s="336"/>
    </row>
    <row r="365" spans="1:3">
      <c r="A365" s="343"/>
      <c r="B365" s="335"/>
      <c r="C365" s="336"/>
    </row>
    <row r="366" spans="1:3">
      <c r="A366" s="343"/>
      <c r="B366" s="335"/>
      <c r="C366" s="336"/>
    </row>
    <row r="367" spans="1:3">
      <c r="A367" s="343"/>
      <c r="B367" s="335"/>
      <c r="C367" s="336"/>
    </row>
    <row r="368" spans="1:3">
      <c r="A368" s="343"/>
      <c r="B368" s="335"/>
      <c r="C368" s="336"/>
    </row>
    <row r="369" spans="1:3">
      <c r="A369" s="343"/>
      <c r="B369" s="335"/>
      <c r="C369" s="336"/>
    </row>
    <row r="370" spans="1:3">
      <c r="A370" s="343"/>
      <c r="B370" s="335"/>
      <c r="C370" s="336"/>
    </row>
    <row r="371" spans="1:3">
      <c r="A371" s="343"/>
      <c r="B371" s="335"/>
      <c r="C371" s="336"/>
    </row>
    <row r="372" spans="1:3">
      <c r="A372" s="343"/>
      <c r="B372" s="335"/>
      <c r="C372" s="336"/>
    </row>
    <row r="373" spans="1:3">
      <c r="A373" s="343"/>
      <c r="B373" s="335"/>
      <c r="C373" s="336"/>
    </row>
    <row r="374" spans="1:3">
      <c r="A374" s="343"/>
      <c r="B374" s="335"/>
      <c r="C374" s="336"/>
    </row>
    <row r="375" spans="1:3">
      <c r="A375" s="343"/>
      <c r="B375" s="335"/>
      <c r="C375" s="336"/>
    </row>
    <row r="376" spans="1:3">
      <c r="A376" s="343"/>
      <c r="B376" s="335"/>
      <c r="C376" s="336"/>
    </row>
    <row r="377" spans="1:3">
      <c r="A377" s="343"/>
      <c r="B377" s="335"/>
      <c r="C377" s="336"/>
    </row>
    <row r="378" spans="1:3">
      <c r="A378" s="343"/>
      <c r="B378" s="335"/>
      <c r="C378" s="336"/>
    </row>
    <row r="379" spans="1:3">
      <c r="A379" s="343"/>
      <c r="B379" s="335"/>
      <c r="C379" s="336"/>
    </row>
    <row r="380" spans="1:3">
      <c r="A380" s="343"/>
      <c r="B380" s="335"/>
      <c r="C380" s="336"/>
    </row>
    <row r="381" spans="1:3">
      <c r="A381" s="343"/>
      <c r="B381" s="335"/>
      <c r="C381" s="336"/>
    </row>
    <row r="382" spans="1:3">
      <c r="A382" s="343"/>
      <c r="B382" s="335"/>
      <c r="C382" s="336"/>
    </row>
    <row r="383" spans="1:3">
      <c r="A383" s="343"/>
      <c r="B383" s="335"/>
      <c r="C383" s="336"/>
    </row>
    <row r="384" spans="1:3">
      <c r="A384" s="343"/>
      <c r="B384" s="335"/>
      <c r="C384" s="336"/>
    </row>
    <row r="385" spans="1:3">
      <c r="A385" s="343"/>
      <c r="B385" s="335"/>
      <c r="C385" s="336"/>
    </row>
    <row r="386" spans="1:3">
      <c r="A386" s="343"/>
      <c r="B386" s="335"/>
      <c r="C386" s="336"/>
    </row>
    <row r="387" spans="1:3">
      <c r="A387" s="343"/>
      <c r="B387" s="335"/>
      <c r="C387" s="336"/>
    </row>
    <row r="388" spans="1:3">
      <c r="A388" s="343"/>
      <c r="B388" s="335"/>
      <c r="C388" s="336"/>
    </row>
    <row r="389" spans="1:3">
      <c r="A389" s="343"/>
      <c r="B389" s="335"/>
      <c r="C389" s="336"/>
    </row>
    <row r="390" spans="1:3">
      <c r="A390" s="343"/>
      <c r="B390" s="335"/>
      <c r="C390" s="336"/>
    </row>
    <row r="391" spans="1:3">
      <c r="A391" s="343"/>
      <c r="B391" s="335"/>
      <c r="C391" s="336"/>
    </row>
    <row r="392" spans="1:3">
      <c r="A392" s="343"/>
      <c r="B392" s="335"/>
      <c r="C392" s="336"/>
    </row>
    <row r="393" spans="1:3">
      <c r="A393" s="343"/>
      <c r="B393" s="335"/>
      <c r="C393" s="336"/>
    </row>
    <row r="394" spans="1:3">
      <c r="A394" s="343"/>
      <c r="B394" s="335"/>
      <c r="C394" s="336"/>
    </row>
    <row r="395" spans="1:3">
      <c r="A395" s="343"/>
      <c r="B395" s="335"/>
      <c r="C395" s="336"/>
    </row>
    <row r="396" spans="1:3">
      <c r="A396" s="343"/>
      <c r="B396" s="335"/>
      <c r="C396" s="336"/>
    </row>
    <row r="397" spans="1:3">
      <c r="A397" s="343"/>
      <c r="B397" s="335"/>
      <c r="C397" s="336"/>
    </row>
    <row r="398" spans="1:3">
      <c r="A398" s="343"/>
      <c r="B398" s="335"/>
      <c r="C398" s="336"/>
    </row>
    <row r="399" spans="1:3">
      <c r="A399" s="343"/>
      <c r="B399" s="335"/>
      <c r="C399" s="336"/>
    </row>
    <row r="400" spans="1:3">
      <c r="A400" s="343"/>
      <c r="B400" s="335"/>
      <c r="C400" s="336"/>
    </row>
    <row r="401" spans="1:3">
      <c r="A401" s="343"/>
      <c r="B401" s="335"/>
      <c r="C401" s="336"/>
    </row>
    <row r="402" spans="1:3">
      <c r="A402" s="343"/>
      <c r="B402" s="335"/>
      <c r="C402" s="336"/>
    </row>
    <row r="403" spans="1:3">
      <c r="A403" s="343"/>
      <c r="B403" s="335"/>
      <c r="C403" s="336"/>
    </row>
    <row r="404" spans="1:3">
      <c r="A404" s="343"/>
      <c r="B404" s="335"/>
      <c r="C404" s="336"/>
    </row>
    <row r="405" spans="1:3">
      <c r="A405" s="343"/>
      <c r="B405" s="335"/>
      <c r="C405" s="336"/>
    </row>
    <row r="406" spans="1:3">
      <c r="A406" s="343"/>
      <c r="B406" s="335"/>
      <c r="C406" s="336"/>
    </row>
    <row r="407" spans="1:3">
      <c r="A407" s="343"/>
      <c r="B407" s="335"/>
      <c r="C407" s="336"/>
    </row>
    <row r="408" spans="1:3">
      <c r="A408" s="343"/>
      <c r="B408" s="335"/>
      <c r="C408" s="336"/>
    </row>
    <row r="409" spans="1:3">
      <c r="A409" s="343"/>
      <c r="B409" s="335"/>
      <c r="C409" s="336"/>
    </row>
    <row r="410" spans="1:3">
      <c r="A410" s="343"/>
      <c r="B410" s="335"/>
      <c r="C410" s="336"/>
    </row>
    <row r="411" spans="1:3">
      <c r="A411" s="343"/>
      <c r="B411" s="335"/>
      <c r="C411" s="336"/>
    </row>
    <row r="412" spans="1:3">
      <c r="A412" s="343"/>
      <c r="B412" s="335"/>
      <c r="C412" s="336"/>
    </row>
    <row r="413" spans="1:3">
      <c r="A413" s="343"/>
      <c r="B413" s="335"/>
      <c r="C413" s="336"/>
    </row>
    <row r="414" spans="1:3">
      <c r="A414" s="343"/>
      <c r="B414" s="335"/>
      <c r="C414" s="336"/>
    </row>
    <row r="415" spans="1:3">
      <c r="A415" s="343"/>
      <c r="B415" s="335"/>
      <c r="C415" s="336"/>
    </row>
    <row r="416" spans="1:3">
      <c r="A416" s="343"/>
      <c r="B416" s="335"/>
      <c r="C416" s="336"/>
    </row>
    <row r="417" spans="1:3">
      <c r="A417" s="343"/>
      <c r="B417" s="335"/>
      <c r="C417" s="336"/>
    </row>
    <row r="418" spans="1:3">
      <c r="A418" s="343"/>
      <c r="B418" s="335"/>
      <c r="C418" s="336"/>
    </row>
    <row r="419" spans="1:3">
      <c r="A419" s="343"/>
      <c r="B419" s="335"/>
      <c r="C419" s="336"/>
    </row>
    <row r="420" spans="1:3">
      <c r="A420" s="343"/>
      <c r="B420" s="335"/>
      <c r="C420" s="336"/>
    </row>
    <row r="421" spans="1:3">
      <c r="A421" s="343"/>
      <c r="B421" s="335"/>
      <c r="C421" s="336"/>
    </row>
    <row r="422" spans="1:3">
      <c r="A422" s="343"/>
      <c r="B422" s="335"/>
      <c r="C422" s="336"/>
    </row>
    <row r="423" spans="1:3">
      <c r="A423" s="343"/>
      <c r="B423" s="335"/>
      <c r="C423" s="336"/>
    </row>
    <row r="424" spans="1:3">
      <c r="A424" s="343"/>
      <c r="B424" s="335"/>
      <c r="C424" s="336"/>
    </row>
    <row r="425" spans="1:3">
      <c r="A425" s="343"/>
      <c r="B425" s="335"/>
      <c r="C425" s="336"/>
    </row>
    <row r="426" spans="1:3">
      <c r="A426" s="343"/>
      <c r="B426" s="335"/>
      <c r="C426" s="336"/>
    </row>
    <row r="427" spans="1:3">
      <c r="A427" s="343"/>
      <c r="B427" s="335"/>
      <c r="C427" s="336"/>
    </row>
    <row r="428" spans="1:3">
      <c r="A428" s="343"/>
      <c r="B428" s="335"/>
      <c r="C428" s="336"/>
    </row>
    <row r="429" spans="1:3">
      <c r="A429" s="343"/>
      <c r="B429" s="335"/>
      <c r="C429" s="336"/>
    </row>
    <row r="430" spans="1:3">
      <c r="A430" s="343"/>
      <c r="B430" s="335"/>
      <c r="C430" s="336"/>
    </row>
    <row r="431" spans="1:3">
      <c r="A431" s="343"/>
      <c r="B431" s="335"/>
      <c r="C431" s="336"/>
    </row>
    <row r="432" spans="1:3">
      <c r="A432" s="343"/>
      <c r="B432" s="335"/>
      <c r="C432" s="336"/>
    </row>
    <row r="433" spans="1:3">
      <c r="A433" s="343"/>
      <c r="B433" s="335"/>
      <c r="C433" s="336"/>
    </row>
    <row r="434" spans="1:3">
      <c r="A434" s="343"/>
      <c r="B434" s="335"/>
      <c r="C434" s="336"/>
    </row>
    <row r="435" spans="1:3">
      <c r="A435" s="343"/>
      <c r="B435" s="335"/>
      <c r="C435" s="336"/>
    </row>
    <row r="436" spans="1:3">
      <c r="A436" s="343"/>
      <c r="B436" s="335"/>
      <c r="C436" s="336"/>
    </row>
    <row r="437" spans="1:3">
      <c r="A437" s="343"/>
      <c r="B437" s="335"/>
      <c r="C437" s="336"/>
    </row>
    <row r="438" spans="1:3">
      <c r="A438" s="343"/>
      <c r="B438" s="335"/>
      <c r="C438" s="336"/>
    </row>
    <row r="439" spans="1:3">
      <c r="A439" s="343"/>
      <c r="B439" s="335"/>
      <c r="C439" s="336"/>
    </row>
    <row r="440" spans="1:3">
      <c r="A440" s="343"/>
      <c r="B440" s="335"/>
      <c r="C440" s="336"/>
    </row>
    <row r="441" spans="1:3">
      <c r="A441" s="343"/>
      <c r="B441" s="335"/>
      <c r="C441" s="336"/>
    </row>
    <row r="442" spans="1:3">
      <c r="A442" s="343"/>
      <c r="B442" s="335"/>
      <c r="C442" s="336"/>
    </row>
    <row r="443" spans="1:3">
      <c r="A443" s="343"/>
      <c r="B443" s="335"/>
      <c r="C443" s="336"/>
    </row>
    <row r="444" spans="1:3">
      <c r="A444" s="343"/>
      <c r="B444" s="335"/>
      <c r="C444" s="336"/>
    </row>
    <row r="445" spans="1:3">
      <c r="A445" s="343"/>
      <c r="B445" s="335"/>
      <c r="C445" s="336"/>
    </row>
    <row r="446" spans="1:3">
      <c r="A446" s="343"/>
      <c r="B446" s="335"/>
      <c r="C446" s="336"/>
    </row>
    <row r="447" spans="1:3">
      <c r="A447" s="343"/>
      <c r="B447" s="335"/>
      <c r="C447" s="336"/>
    </row>
    <row r="448" spans="1:3">
      <c r="A448" s="343"/>
      <c r="B448" s="335"/>
      <c r="C448" s="336"/>
    </row>
    <row r="449" spans="1:3">
      <c r="A449" s="343"/>
      <c r="B449" s="335"/>
      <c r="C449" s="336"/>
    </row>
    <row r="450" spans="1:3">
      <c r="A450" s="343"/>
      <c r="B450" s="335"/>
      <c r="C450" s="336"/>
    </row>
    <row r="451" spans="1:3">
      <c r="A451" s="343"/>
      <c r="B451" s="335"/>
      <c r="C451" s="336"/>
    </row>
    <row r="452" spans="1:3">
      <c r="A452" s="343"/>
      <c r="B452" s="335"/>
      <c r="C452" s="336"/>
    </row>
    <row r="453" spans="1:3">
      <c r="A453" s="343"/>
      <c r="B453" s="335"/>
      <c r="C453" s="336"/>
    </row>
    <row r="454" spans="1:3">
      <c r="A454" s="343"/>
      <c r="B454" s="335"/>
      <c r="C454" s="336"/>
    </row>
    <row r="455" spans="1:3">
      <c r="A455" s="343"/>
      <c r="B455" s="335"/>
      <c r="C455" s="336"/>
    </row>
    <row r="456" spans="1:3">
      <c r="A456" s="343"/>
      <c r="B456" s="335"/>
      <c r="C456" s="336"/>
    </row>
    <row r="457" spans="1:3">
      <c r="A457" s="343"/>
      <c r="B457" s="335"/>
      <c r="C457" s="336"/>
    </row>
    <row r="458" spans="1:3">
      <c r="A458" s="343"/>
      <c r="B458" s="335"/>
      <c r="C458" s="336"/>
    </row>
    <row r="459" spans="1:3">
      <c r="A459" s="343"/>
      <c r="B459" s="335"/>
      <c r="C459" s="336"/>
    </row>
    <row r="460" spans="1:3">
      <c r="A460" s="343"/>
      <c r="B460" s="335"/>
      <c r="C460" s="336"/>
    </row>
    <row r="461" spans="1:3">
      <c r="A461" s="343"/>
      <c r="B461" s="335"/>
      <c r="C461" s="336"/>
    </row>
    <row r="462" spans="1:3">
      <c r="A462" s="343"/>
      <c r="B462" s="335"/>
      <c r="C462" s="336"/>
    </row>
    <row r="463" spans="1:3">
      <c r="A463" s="343"/>
      <c r="B463" s="335"/>
      <c r="C463" s="336"/>
    </row>
    <row r="464" spans="1:3">
      <c r="A464" s="343"/>
      <c r="B464" s="335"/>
      <c r="C464" s="336"/>
    </row>
    <row r="465" spans="1:3">
      <c r="A465" s="343"/>
      <c r="B465" s="335"/>
      <c r="C465" s="336"/>
    </row>
    <row r="466" spans="1:3">
      <c r="A466" s="343"/>
      <c r="B466" s="335"/>
      <c r="C466" s="336"/>
    </row>
    <row r="467" spans="1:3">
      <c r="A467" s="343"/>
      <c r="B467" s="335"/>
      <c r="C467" s="336"/>
    </row>
    <row r="468" spans="1:3">
      <c r="A468" s="343"/>
      <c r="B468" s="335"/>
      <c r="C468" s="336"/>
    </row>
    <row r="469" spans="1:3">
      <c r="A469" s="343"/>
      <c r="B469" s="335"/>
      <c r="C469" s="336"/>
    </row>
    <row r="470" spans="1:3">
      <c r="A470" s="343"/>
      <c r="B470" s="335"/>
      <c r="C470" s="336"/>
    </row>
    <row r="471" spans="1:3">
      <c r="A471" s="343"/>
      <c r="B471" s="335"/>
      <c r="C471" s="336"/>
    </row>
    <row r="472" spans="1:3">
      <c r="A472" s="343"/>
      <c r="B472" s="335"/>
      <c r="C472" s="336"/>
    </row>
    <row r="473" spans="1:3">
      <c r="A473" s="343"/>
      <c r="B473" s="335"/>
      <c r="C473" s="336"/>
    </row>
    <row r="474" spans="1:3">
      <c r="A474" s="343"/>
      <c r="B474" s="335"/>
      <c r="C474" s="336"/>
    </row>
    <row r="475" spans="1:3">
      <c r="A475" s="343"/>
      <c r="B475" s="335"/>
      <c r="C475" s="336"/>
    </row>
    <row r="476" spans="1:3">
      <c r="A476" s="343"/>
      <c r="B476" s="335"/>
      <c r="C476" s="336"/>
    </row>
    <row r="477" spans="1:3">
      <c r="A477" s="343"/>
      <c r="B477" s="335"/>
      <c r="C477" s="336"/>
    </row>
    <row r="478" spans="1:3">
      <c r="A478" s="343"/>
      <c r="B478" s="335"/>
      <c r="C478" s="336"/>
    </row>
    <row r="479" spans="1:3">
      <c r="A479" s="343"/>
      <c r="B479" s="335"/>
      <c r="C479" s="336"/>
    </row>
    <row r="480" spans="1:3">
      <c r="A480" s="343"/>
      <c r="B480" s="335"/>
      <c r="C480" s="336"/>
    </row>
    <row r="481" spans="1:3">
      <c r="A481" s="343"/>
      <c r="B481" s="335"/>
      <c r="C481" s="336"/>
    </row>
    <row r="482" spans="1:3">
      <c r="A482" s="343"/>
      <c r="B482" s="335"/>
      <c r="C482" s="336"/>
    </row>
    <row r="483" spans="1:3">
      <c r="A483" s="343"/>
      <c r="B483" s="335"/>
      <c r="C483" s="336"/>
    </row>
    <row r="484" spans="1:3">
      <c r="A484" s="343"/>
      <c r="B484" s="335"/>
      <c r="C484" s="336"/>
    </row>
    <row r="485" spans="1:3">
      <c r="A485" s="343"/>
      <c r="B485" s="335"/>
      <c r="C485" s="336"/>
    </row>
    <row r="486" spans="1:3">
      <c r="A486" s="343"/>
      <c r="B486" s="335"/>
      <c r="C486" s="336"/>
    </row>
    <row r="487" spans="1:3">
      <c r="A487" s="343"/>
      <c r="B487" s="335"/>
      <c r="C487" s="336"/>
    </row>
    <row r="488" spans="1:3">
      <c r="A488" s="343"/>
      <c r="B488" s="335"/>
      <c r="C488" s="336"/>
    </row>
    <row r="489" spans="1:3">
      <c r="A489" s="343"/>
      <c r="B489" s="335"/>
      <c r="C489" s="336"/>
    </row>
    <row r="490" spans="1:3">
      <c r="A490" s="343"/>
      <c r="B490" s="335"/>
      <c r="C490" s="336"/>
    </row>
    <row r="491" spans="1:3">
      <c r="A491" s="343"/>
      <c r="B491" s="335"/>
      <c r="C491" s="336"/>
    </row>
    <row r="492" spans="1:3">
      <c r="A492" s="343"/>
      <c r="B492" s="335"/>
      <c r="C492" s="336"/>
    </row>
    <row r="493" spans="1:3">
      <c r="A493" s="343"/>
      <c r="B493" s="335"/>
      <c r="C493" s="336"/>
    </row>
    <row r="494" spans="1:3">
      <c r="A494" s="343"/>
      <c r="B494" s="335"/>
      <c r="C494" s="336"/>
    </row>
    <row r="495" spans="1:3">
      <c r="A495" s="343"/>
      <c r="B495" s="335"/>
      <c r="C495" s="336"/>
    </row>
    <row r="496" spans="1:3">
      <c r="A496" s="343"/>
      <c r="B496" s="335"/>
      <c r="C496" s="336"/>
    </row>
    <row r="497" spans="1:3">
      <c r="A497" s="343"/>
      <c r="B497" s="335"/>
      <c r="C497" s="336"/>
    </row>
    <row r="498" spans="1:3">
      <c r="A498" s="343"/>
      <c r="B498" s="335"/>
      <c r="C498" s="336"/>
    </row>
    <row r="499" spans="1:3">
      <c r="A499" s="343"/>
      <c r="B499" s="335"/>
      <c r="C499" s="336"/>
    </row>
    <row r="500" spans="1:3">
      <c r="A500" s="343"/>
      <c r="B500" s="335"/>
      <c r="C500" s="336"/>
    </row>
    <row r="501" spans="1:3">
      <c r="A501" s="343"/>
      <c r="B501" s="335"/>
      <c r="C501" s="336"/>
    </row>
    <row r="502" spans="1:3">
      <c r="A502" s="343"/>
      <c r="B502" s="335"/>
      <c r="C502" s="336"/>
    </row>
    <row r="503" spans="1:3">
      <c r="A503" s="343"/>
      <c r="B503" s="335"/>
      <c r="C503" s="336"/>
    </row>
    <row r="504" spans="1:3">
      <c r="A504" s="343"/>
      <c r="B504" s="335"/>
      <c r="C504" s="336"/>
    </row>
    <row r="505" spans="1:3">
      <c r="A505" s="343"/>
      <c r="B505" s="335"/>
      <c r="C505" s="336"/>
    </row>
    <row r="506" spans="1:3">
      <c r="A506" s="343"/>
      <c r="B506" s="335"/>
      <c r="C506" s="336"/>
    </row>
    <row r="507" spans="1:3">
      <c r="A507" s="343"/>
      <c r="B507" s="335"/>
      <c r="C507" s="336"/>
    </row>
    <row r="508" spans="1:3">
      <c r="A508" s="343"/>
      <c r="B508" s="335"/>
      <c r="C508" s="336"/>
    </row>
    <row r="509" spans="1:3">
      <c r="A509" s="343"/>
      <c r="B509" s="335"/>
      <c r="C509" s="336"/>
    </row>
    <row r="510" spans="1:3">
      <c r="A510" s="343"/>
      <c r="B510" s="335"/>
      <c r="C510" s="336"/>
    </row>
    <row r="511" spans="1:3">
      <c r="A511" s="343"/>
      <c r="B511" s="335"/>
      <c r="C511" s="336"/>
    </row>
    <row r="512" spans="1:3">
      <c r="A512" s="343"/>
      <c r="B512" s="335"/>
      <c r="C512" s="336"/>
    </row>
    <row r="513" spans="1:3">
      <c r="A513" s="343"/>
      <c r="B513" s="335"/>
      <c r="C513" s="336"/>
    </row>
    <row r="514" spans="1:3">
      <c r="A514" s="343"/>
      <c r="B514" s="335"/>
      <c r="C514" s="336"/>
    </row>
    <row r="515" spans="1:3">
      <c r="A515" s="343"/>
      <c r="B515" s="335"/>
      <c r="C515" s="336"/>
    </row>
    <row r="516" spans="1:3">
      <c r="A516" s="343"/>
      <c r="B516" s="335"/>
      <c r="C516" s="336"/>
    </row>
    <row r="517" spans="1:3">
      <c r="A517" s="343"/>
      <c r="B517" s="335"/>
      <c r="C517" s="336"/>
    </row>
    <row r="518" spans="1:3">
      <c r="A518" s="343"/>
      <c r="B518" s="335"/>
      <c r="C518" s="336"/>
    </row>
    <row r="519" spans="1:3">
      <c r="A519" s="343"/>
      <c r="B519" s="335"/>
      <c r="C519" s="336"/>
    </row>
    <row r="520" spans="1:3">
      <c r="A520" s="343"/>
      <c r="B520" s="335"/>
      <c r="C520" s="336"/>
    </row>
    <row r="521" spans="1:3">
      <c r="A521" s="343"/>
      <c r="B521" s="335"/>
      <c r="C521" s="336"/>
    </row>
    <row r="522" spans="1:3">
      <c r="A522" s="343"/>
      <c r="B522" s="335"/>
      <c r="C522" s="336"/>
    </row>
    <row r="523" spans="1:3">
      <c r="A523" s="343"/>
      <c r="B523" s="335"/>
      <c r="C523" s="336"/>
    </row>
    <row r="524" spans="1:3">
      <c r="A524" s="343"/>
      <c r="B524" s="335"/>
      <c r="C524" s="336"/>
    </row>
    <row r="525" spans="1:3">
      <c r="A525" s="343"/>
      <c r="B525" s="335"/>
      <c r="C525" s="336"/>
    </row>
    <row r="526" spans="1:3">
      <c r="A526" s="343"/>
      <c r="B526" s="335"/>
      <c r="C526" s="336"/>
    </row>
    <row r="527" spans="1:3">
      <c r="A527" s="343"/>
      <c r="B527" s="335"/>
      <c r="C527" s="336"/>
    </row>
    <row r="528" spans="1:3">
      <c r="A528" s="343"/>
      <c r="B528" s="335"/>
      <c r="C528" s="336"/>
    </row>
    <row r="529" spans="1:3">
      <c r="A529" s="343"/>
      <c r="B529" s="335"/>
      <c r="C529" s="336"/>
    </row>
    <row r="530" spans="1:3">
      <c r="A530" s="343"/>
      <c r="B530" s="335"/>
      <c r="C530" s="336"/>
    </row>
    <row r="531" spans="1:3">
      <c r="A531" s="343"/>
      <c r="B531" s="335"/>
      <c r="C531" s="336"/>
    </row>
    <row r="532" spans="1:3">
      <c r="A532" s="343"/>
      <c r="B532" s="335"/>
      <c r="C532" s="336"/>
    </row>
    <row r="533" spans="1:3">
      <c r="A533" s="343"/>
      <c r="B533" s="335"/>
      <c r="C533" s="336"/>
    </row>
    <row r="534" spans="1:3">
      <c r="A534" s="343"/>
      <c r="B534" s="335"/>
      <c r="C534" s="336"/>
    </row>
    <row r="535" spans="1:3">
      <c r="A535" s="343"/>
      <c r="B535" s="335"/>
      <c r="C535" s="336"/>
    </row>
    <row r="536" spans="1:3">
      <c r="A536" s="343"/>
      <c r="B536" s="335"/>
      <c r="C536" s="336"/>
    </row>
    <row r="537" spans="1:3">
      <c r="A537" s="343"/>
      <c r="B537" s="335"/>
      <c r="C537" s="336"/>
    </row>
    <row r="538" spans="1:3">
      <c r="A538" s="343"/>
      <c r="B538" s="335"/>
      <c r="C538" s="336"/>
    </row>
    <row r="539" spans="1:3">
      <c r="A539" s="343"/>
      <c r="B539" s="335"/>
      <c r="C539" s="336"/>
    </row>
    <row r="540" spans="1:3">
      <c r="A540" s="343"/>
      <c r="B540" s="335"/>
      <c r="C540" s="336"/>
    </row>
    <row r="541" spans="1:3">
      <c r="A541" s="343"/>
      <c r="B541" s="335"/>
      <c r="C541" s="336"/>
    </row>
    <row r="542" spans="1:3">
      <c r="A542" s="343"/>
      <c r="B542" s="335"/>
      <c r="C542" s="336"/>
    </row>
    <row r="543" spans="1:3">
      <c r="A543" s="343"/>
      <c r="B543" s="335"/>
      <c r="C543" s="336"/>
    </row>
    <row r="544" spans="1:3">
      <c r="A544" s="343"/>
      <c r="B544" s="335"/>
      <c r="C544" s="336"/>
    </row>
    <row r="545" spans="1:3">
      <c r="A545" s="343"/>
      <c r="B545" s="335"/>
      <c r="C545" s="336"/>
    </row>
    <row r="546" spans="1:3">
      <c r="A546" s="343"/>
      <c r="B546" s="335"/>
      <c r="C546" s="336"/>
    </row>
    <row r="547" spans="1:3">
      <c r="A547" s="343"/>
      <c r="B547" s="335"/>
      <c r="C547" s="336"/>
    </row>
    <row r="548" spans="1:3">
      <c r="A548" s="343"/>
      <c r="B548" s="335"/>
      <c r="C548" s="336"/>
    </row>
    <row r="549" spans="1:3">
      <c r="A549" s="343"/>
      <c r="B549" s="335"/>
      <c r="C549" s="336"/>
    </row>
    <row r="550" spans="1:3">
      <c r="A550" s="343"/>
      <c r="B550" s="335"/>
      <c r="C550" s="336"/>
    </row>
    <row r="551" spans="1:3">
      <c r="A551" s="343"/>
      <c r="B551" s="335"/>
      <c r="C551" s="336"/>
    </row>
    <row r="552" spans="1:3">
      <c r="A552" s="343"/>
      <c r="B552" s="335"/>
      <c r="C552" s="336"/>
    </row>
    <row r="553" spans="1:3">
      <c r="A553" s="343"/>
      <c r="B553" s="335"/>
      <c r="C553" s="336"/>
    </row>
    <row r="554" spans="1:3">
      <c r="A554" s="343"/>
      <c r="B554" s="335"/>
      <c r="C554" s="336"/>
    </row>
    <row r="555" spans="1:3">
      <c r="A555" s="343"/>
      <c r="B555" s="335"/>
      <c r="C555" s="336"/>
    </row>
    <row r="556" spans="1:3">
      <c r="A556" s="343"/>
      <c r="B556" s="335"/>
      <c r="C556" s="336"/>
    </row>
    <row r="557" spans="1:3">
      <c r="A557" s="343"/>
      <c r="B557" s="335"/>
      <c r="C557" s="336"/>
    </row>
    <row r="558" spans="1:3">
      <c r="A558" s="343"/>
      <c r="B558" s="335"/>
      <c r="C558" s="336"/>
    </row>
    <row r="559" spans="1:3">
      <c r="A559" s="343"/>
      <c r="B559" s="335"/>
      <c r="C559" s="336"/>
    </row>
    <row r="560" spans="1:3">
      <c r="A560" s="343"/>
      <c r="B560" s="335"/>
      <c r="C560" s="336"/>
    </row>
    <row r="561" spans="1:3">
      <c r="A561" s="343"/>
      <c r="B561" s="335"/>
      <c r="C561" s="336"/>
    </row>
    <row r="562" spans="1:3">
      <c r="A562" s="343"/>
      <c r="B562" s="335"/>
      <c r="C562" s="336"/>
    </row>
    <row r="563" spans="1:3">
      <c r="A563" s="343"/>
      <c r="B563" s="335"/>
      <c r="C563" s="336"/>
    </row>
    <row r="564" spans="1:3">
      <c r="A564" s="343"/>
      <c r="B564" s="335"/>
      <c r="C564" s="336"/>
    </row>
    <row r="565" spans="1:3">
      <c r="A565" s="343"/>
      <c r="B565" s="335"/>
      <c r="C565" s="336"/>
    </row>
    <row r="566" spans="1:3">
      <c r="A566" s="343"/>
      <c r="B566" s="335"/>
      <c r="C566" s="336"/>
    </row>
    <row r="567" spans="1:3">
      <c r="A567" s="343"/>
      <c r="B567" s="335"/>
      <c r="C567" s="336"/>
    </row>
    <row r="568" spans="1:3">
      <c r="A568" s="343"/>
      <c r="B568" s="335"/>
      <c r="C568" s="336"/>
    </row>
    <row r="569" spans="1:3">
      <c r="A569" s="343"/>
      <c r="B569" s="335"/>
      <c r="C569" s="336"/>
    </row>
    <row r="570" spans="1:3">
      <c r="A570" s="343"/>
      <c r="B570" s="335"/>
      <c r="C570" s="336"/>
    </row>
    <row r="571" spans="1:3">
      <c r="A571" s="343"/>
      <c r="B571" s="335"/>
      <c r="C571" s="336"/>
    </row>
    <row r="572" spans="1:3">
      <c r="A572" s="343"/>
      <c r="B572" s="335"/>
      <c r="C572" s="336"/>
    </row>
    <row r="573" spans="1:3">
      <c r="A573" s="343"/>
      <c r="B573" s="335"/>
      <c r="C573" s="336"/>
    </row>
    <row r="574" spans="1:3">
      <c r="A574" s="343"/>
      <c r="B574" s="335"/>
      <c r="C574" s="336"/>
    </row>
    <row r="575" spans="1:3">
      <c r="A575" s="343"/>
      <c r="B575" s="335"/>
      <c r="C575" s="336"/>
    </row>
    <row r="576" spans="1:3">
      <c r="A576" s="343"/>
      <c r="B576" s="335"/>
      <c r="C576" s="336"/>
    </row>
    <row r="577" spans="1:3">
      <c r="A577" s="343"/>
      <c r="B577" s="335"/>
      <c r="C577" s="336"/>
    </row>
    <row r="578" spans="1:3">
      <c r="A578" s="343"/>
      <c r="B578" s="335"/>
      <c r="C578" s="336"/>
    </row>
    <row r="579" spans="1:3">
      <c r="A579" s="343"/>
      <c r="B579" s="335"/>
      <c r="C579" s="336"/>
    </row>
    <row r="580" spans="1:3">
      <c r="A580" s="343"/>
      <c r="B580" s="335"/>
      <c r="C580" s="336"/>
    </row>
    <row r="581" spans="1:3">
      <c r="A581" s="343"/>
      <c r="B581" s="335"/>
      <c r="C581" s="336"/>
    </row>
    <row r="582" spans="1:3">
      <c r="A582" s="343"/>
      <c r="B582" s="335"/>
      <c r="C582" s="336"/>
    </row>
    <row r="583" spans="1:3">
      <c r="A583" s="343"/>
      <c r="B583" s="335"/>
      <c r="C583" s="336"/>
    </row>
    <row r="584" spans="1:3">
      <c r="A584" s="343"/>
      <c r="B584" s="335"/>
      <c r="C584" s="336"/>
    </row>
    <row r="585" spans="1:3">
      <c r="A585" s="343"/>
      <c r="B585" s="335"/>
      <c r="C585" s="336"/>
    </row>
    <row r="586" spans="1:3">
      <c r="A586" s="343"/>
      <c r="B586" s="335"/>
      <c r="C586" s="336"/>
    </row>
    <row r="587" spans="1:3">
      <c r="A587" s="343"/>
      <c r="B587" s="335"/>
      <c r="C587" s="336"/>
    </row>
    <row r="588" spans="1:3">
      <c r="A588" s="343"/>
      <c r="B588" s="335"/>
      <c r="C588" s="336"/>
    </row>
    <row r="589" spans="1:3">
      <c r="A589" s="343"/>
      <c r="B589" s="335"/>
      <c r="C589" s="336"/>
    </row>
    <row r="590" spans="1:3">
      <c r="A590" s="343"/>
      <c r="B590" s="335"/>
      <c r="C590" s="336"/>
    </row>
    <row r="591" spans="1:3">
      <c r="A591" s="343"/>
      <c r="B591" s="335"/>
      <c r="C591" s="336"/>
    </row>
    <row r="592" spans="1:3">
      <c r="A592" s="343"/>
      <c r="B592" s="335"/>
      <c r="C592" s="336"/>
    </row>
    <row r="593" spans="1:3">
      <c r="A593" s="343"/>
      <c r="B593" s="335"/>
      <c r="C593" s="336"/>
    </row>
    <row r="594" spans="1:3">
      <c r="A594" s="343"/>
      <c r="B594" s="335"/>
      <c r="C594" s="336"/>
    </row>
    <row r="595" spans="1:3">
      <c r="A595" s="343"/>
      <c r="B595" s="335"/>
      <c r="C595" s="336"/>
    </row>
    <row r="596" spans="1:3">
      <c r="A596" s="343"/>
      <c r="B596" s="335"/>
      <c r="C596" s="336"/>
    </row>
    <row r="597" spans="1:3">
      <c r="A597" s="343"/>
      <c r="B597" s="335"/>
      <c r="C597" s="336"/>
    </row>
    <row r="598" spans="1:3">
      <c r="A598" s="343"/>
      <c r="B598" s="335"/>
      <c r="C598" s="336"/>
    </row>
    <row r="599" spans="1:3">
      <c r="A599" s="343"/>
      <c r="B599" s="335"/>
      <c r="C599" s="336"/>
    </row>
    <row r="600" spans="1:3">
      <c r="A600" s="343"/>
      <c r="B600" s="335"/>
      <c r="C600" s="336"/>
    </row>
    <row r="601" spans="1:3">
      <c r="A601" s="343"/>
      <c r="B601" s="335"/>
      <c r="C601" s="336"/>
    </row>
    <row r="602" spans="1:3">
      <c r="A602" s="343"/>
      <c r="B602" s="335"/>
      <c r="C602" s="336"/>
    </row>
    <row r="603" spans="1:3">
      <c r="A603" s="343"/>
      <c r="B603" s="335"/>
      <c r="C603" s="336"/>
    </row>
    <row r="604" spans="1:3">
      <c r="A604" s="343"/>
      <c r="B604" s="335"/>
      <c r="C604" s="336"/>
    </row>
    <row r="605" spans="1:3">
      <c r="A605" s="343"/>
      <c r="B605" s="335"/>
      <c r="C605" s="336"/>
    </row>
    <row r="606" spans="1:3">
      <c r="A606" s="343"/>
      <c r="B606" s="335"/>
      <c r="C606" s="336"/>
    </row>
    <row r="607" spans="1:3">
      <c r="A607" s="343"/>
      <c r="B607" s="335"/>
      <c r="C607" s="336"/>
    </row>
    <row r="608" spans="1:3">
      <c r="A608" s="343"/>
      <c r="B608" s="335"/>
      <c r="C608" s="336"/>
    </row>
    <row r="609" spans="1:3">
      <c r="A609" s="343"/>
      <c r="B609" s="335"/>
      <c r="C609" s="336"/>
    </row>
    <row r="610" spans="1:3">
      <c r="A610" s="343"/>
      <c r="B610" s="335"/>
      <c r="C610" s="336"/>
    </row>
    <row r="611" spans="1:3">
      <c r="A611" s="343"/>
      <c r="B611" s="335"/>
      <c r="C611" s="336"/>
    </row>
    <row r="612" spans="1:3">
      <c r="A612" s="343"/>
      <c r="B612" s="335"/>
      <c r="C612" s="336"/>
    </row>
    <row r="613" spans="1:3">
      <c r="A613" s="343"/>
      <c r="B613" s="335"/>
      <c r="C613" s="336"/>
    </row>
    <row r="614" spans="1:3">
      <c r="A614" s="343"/>
      <c r="B614" s="335"/>
      <c r="C614" s="336"/>
    </row>
    <row r="615" spans="1:3">
      <c r="A615" s="343"/>
      <c r="B615" s="335"/>
      <c r="C615" s="336"/>
    </row>
    <row r="616" spans="1:3">
      <c r="A616" s="343"/>
      <c r="B616" s="335"/>
      <c r="C616" s="336"/>
    </row>
    <row r="617" spans="1:3">
      <c r="A617" s="343"/>
      <c r="B617" s="335"/>
      <c r="C617" s="336"/>
    </row>
    <row r="618" spans="1:3">
      <c r="A618" s="343"/>
      <c r="B618" s="335"/>
      <c r="C618" s="336"/>
    </row>
    <row r="619" spans="1:3">
      <c r="A619" s="343"/>
      <c r="B619" s="335"/>
      <c r="C619" s="336"/>
    </row>
    <row r="620" spans="1:3">
      <c r="A620" s="343"/>
      <c r="B620" s="335"/>
      <c r="C620" s="336"/>
    </row>
    <row r="621" spans="1:3">
      <c r="A621" s="343"/>
      <c r="B621" s="335"/>
      <c r="C621" s="336"/>
    </row>
    <row r="622" spans="1:3">
      <c r="A622" s="343"/>
      <c r="B622" s="335"/>
      <c r="C622" s="336"/>
    </row>
    <row r="623" spans="1:3">
      <c r="A623" s="343"/>
      <c r="B623" s="335"/>
      <c r="C623" s="336"/>
    </row>
    <row r="624" spans="1:3">
      <c r="A624" s="343"/>
      <c r="B624" s="335"/>
      <c r="C624" s="336"/>
    </row>
    <row r="625" spans="1:3">
      <c r="A625" s="343"/>
      <c r="B625" s="335"/>
      <c r="C625" s="336"/>
    </row>
    <row r="626" spans="1:3">
      <c r="A626" s="343"/>
      <c r="B626" s="335"/>
      <c r="C626" s="336"/>
    </row>
    <row r="627" spans="1:3">
      <c r="A627" s="343"/>
      <c r="B627" s="335"/>
      <c r="C627" s="336"/>
    </row>
    <row r="628" spans="1:3">
      <c r="A628" s="343"/>
      <c r="B628" s="335"/>
      <c r="C628" s="336"/>
    </row>
    <row r="629" spans="1:3">
      <c r="A629" s="343"/>
      <c r="B629" s="335"/>
      <c r="C629" s="336"/>
    </row>
    <row r="630" spans="1:3">
      <c r="A630" s="343"/>
      <c r="B630" s="335"/>
      <c r="C630" s="336"/>
    </row>
    <row r="631" spans="1:3">
      <c r="A631" s="343"/>
      <c r="B631" s="335"/>
      <c r="C631" s="336"/>
    </row>
    <row r="632" spans="1:3">
      <c r="A632" s="343"/>
      <c r="B632" s="335"/>
      <c r="C632" s="336"/>
    </row>
    <row r="633" spans="1:3">
      <c r="A633" s="343"/>
      <c r="B633" s="335"/>
      <c r="C633" s="336"/>
    </row>
    <row r="634" spans="1:3">
      <c r="A634" s="343"/>
      <c r="B634" s="335"/>
      <c r="C634" s="336"/>
    </row>
    <row r="635" spans="1:3">
      <c r="A635" s="343"/>
      <c r="B635" s="335"/>
      <c r="C635" s="336"/>
    </row>
    <row r="636" spans="1:3">
      <c r="A636" s="343"/>
      <c r="B636" s="335"/>
      <c r="C636" s="336"/>
    </row>
    <row r="637" spans="1:3">
      <c r="A637" s="343"/>
      <c r="B637" s="335"/>
      <c r="C637" s="336"/>
    </row>
    <row r="638" spans="1:3">
      <c r="A638" s="343"/>
      <c r="B638" s="335"/>
      <c r="C638" s="336"/>
    </row>
    <row r="639" spans="1:3">
      <c r="A639" s="343"/>
      <c r="B639" s="335"/>
      <c r="C639" s="336"/>
    </row>
    <row r="640" spans="1:3">
      <c r="A640" s="343"/>
      <c r="B640" s="335"/>
      <c r="C640" s="336"/>
    </row>
    <row r="641" spans="1:3">
      <c r="A641" s="343"/>
      <c r="B641" s="335"/>
      <c r="C641" s="336"/>
    </row>
    <row r="642" spans="1:3">
      <c r="A642" s="343"/>
      <c r="B642" s="335"/>
      <c r="C642" s="336"/>
    </row>
    <row r="643" spans="1:3">
      <c r="A643" s="343"/>
      <c r="B643" s="335"/>
      <c r="C643" s="336"/>
    </row>
    <row r="644" spans="1:3">
      <c r="A644" s="343"/>
      <c r="B644" s="335"/>
      <c r="C644" s="336"/>
    </row>
    <row r="645" spans="1:3">
      <c r="A645" s="343"/>
      <c r="B645" s="335"/>
      <c r="C645" s="336"/>
    </row>
    <row r="646" spans="1:3">
      <c r="A646" s="343"/>
      <c r="B646" s="335"/>
      <c r="C646" s="336"/>
    </row>
    <row r="647" spans="1:3">
      <c r="A647" s="343"/>
      <c r="B647" s="335"/>
      <c r="C647" s="336"/>
    </row>
    <row r="648" spans="1:3">
      <c r="A648" s="343"/>
      <c r="B648" s="335"/>
      <c r="C648" s="336"/>
    </row>
    <row r="649" spans="1:3">
      <c r="A649" s="343"/>
      <c r="B649" s="335"/>
      <c r="C649" s="336"/>
    </row>
    <row r="650" spans="1:3">
      <c r="A650" s="343"/>
      <c r="B650" s="335"/>
      <c r="C650" s="336"/>
    </row>
    <row r="651" spans="1:3">
      <c r="A651" s="343"/>
      <c r="B651" s="335"/>
      <c r="C651" s="336"/>
    </row>
    <row r="652" spans="1:3">
      <c r="A652" s="343"/>
      <c r="B652" s="335"/>
      <c r="C652" s="336"/>
    </row>
    <row r="653" spans="1:3">
      <c r="A653" s="343"/>
      <c r="B653" s="335"/>
      <c r="C653" s="336"/>
    </row>
    <row r="654" spans="1:3">
      <c r="A654" s="343"/>
      <c r="B654" s="335"/>
      <c r="C654" s="336"/>
    </row>
    <row r="655" spans="1:3">
      <c r="A655" s="343"/>
      <c r="B655" s="335"/>
      <c r="C655" s="336"/>
    </row>
    <row r="656" spans="1:3">
      <c r="A656" s="343"/>
      <c r="B656" s="335"/>
      <c r="C656" s="336"/>
    </row>
    <row r="657" spans="1:3">
      <c r="A657" s="343"/>
      <c r="B657" s="335"/>
      <c r="C657" s="336"/>
    </row>
    <row r="658" spans="1:3">
      <c r="A658" s="343"/>
      <c r="B658" s="335"/>
      <c r="C658" s="336"/>
    </row>
    <row r="659" spans="1:3">
      <c r="A659" s="343"/>
      <c r="B659" s="335"/>
      <c r="C659" s="336"/>
    </row>
    <row r="660" spans="1:3">
      <c r="A660" s="343"/>
      <c r="B660" s="335"/>
      <c r="C660" s="336"/>
    </row>
    <row r="661" spans="1:3">
      <c r="A661" s="343"/>
      <c r="B661" s="335"/>
      <c r="C661" s="336"/>
    </row>
    <row r="662" spans="1:3">
      <c r="A662" s="343"/>
      <c r="B662" s="335"/>
      <c r="C662" s="336"/>
    </row>
    <row r="663" spans="1:3">
      <c r="A663" s="343"/>
      <c r="B663" s="335"/>
      <c r="C663" s="336"/>
    </row>
    <row r="664" spans="1:3">
      <c r="A664" s="343"/>
      <c r="B664" s="335"/>
      <c r="C664" s="336"/>
    </row>
    <row r="665" spans="1:3">
      <c r="A665" s="343"/>
      <c r="B665" s="335"/>
      <c r="C665" s="336"/>
    </row>
    <row r="666" spans="1:3">
      <c r="A666" s="343"/>
      <c r="B666" s="335"/>
      <c r="C666" s="336"/>
    </row>
    <row r="667" spans="1:3">
      <c r="A667" s="343"/>
      <c r="B667" s="335"/>
      <c r="C667" s="336"/>
    </row>
    <row r="668" spans="1:3">
      <c r="A668" s="343"/>
      <c r="B668" s="335"/>
      <c r="C668" s="336"/>
    </row>
    <row r="669" spans="1:3">
      <c r="A669" s="343"/>
      <c r="B669" s="335"/>
      <c r="C669" s="336"/>
    </row>
    <row r="670" spans="1:3">
      <c r="A670" s="343"/>
      <c r="B670" s="335"/>
      <c r="C670" s="336"/>
    </row>
    <row r="671" spans="1:3">
      <c r="A671" s="343"/>
      <c r="B671" s="335"/>
      <c r="C671" s="336"/>
    </row>
    <row r="672" spans="1:3">
      <c r="A672" s="343"/>
      <c r="B672" s="335"/>
      <c r="C672" s="336"/>
    </row>
    <row r="673" spans="1:3">
      <c r="A673" s="343"/>
      <c r="B673" s="335"/>
      <c r="C673" s="336"/>
    </row>
    <row r="674" spans="1:3">
      <c r="A674" s="343"/>
      <c r="B674" s="335"/>
      <c r="C674" s="336"/>
    </row>
    <row r="675" spans="1:3">
      <c r="A675" s="343"/>
      <c r="B675" s="335"/>
      <c r="C675" s="336"/>
    </row>
    <row r="676" spans="1:3">
      <c r="A676" s="343"/>
      <c r="B676" s="335"/>
      <c r="C676" s="336"/>
    </row>
    <row r="677" spans="1:3">
      <c r="A677" s="343"/>
      <c r="B677" s="335"/>
      <c r="C677" s="336"/>
    </row>
    <row r="678" spans="1:3">
      <c r="A678" s="343"/>
      <c r="B678" s="335"/>
      <c r="C678" s="336"/>
    </row>
    <row r="679" spans="1:3">
      <c r="A679" s="343"/>
      <c r="B679" s="335"/>
      <c r="C679" s="336"/>
    </row>
    <row r="680" spans="1:3">
      <c r="A680" s="343"/>
      <c r="B680" s="335"/>
      <c r="C680" s="336"/>
    </row>
    <row r="681" spans="1:3">
      <c r="A681" s="343"/>
      <c r="B681" s="335"/>
      <c r="C681" s="336"/>
    </row>
    <row r="682" spans="1:3">
      <c r="A682" s="343"/>
      <c r="B682" s="335"/>
      <c r="C682" s="336"/>
    </row>
    <row r="683" spans="1:3">
      <c r="A683" s="343"/>
      <c r="B683" s="335"/>
      <c r="C683" s="336"/>
    </row>
    <row r="684" spans="1:3">
      <c r="A684" s="343"/>
      <c r="B684" s="335"/>
      <c r="C684" s="336"/>
    </row>
    <row r="685" spans="1:3">
      <c r="A685" s="343"/>
      <c r="B685" s="335"/>
      <c r="C685" s="336"/>
    </row>
    <row r="686" spans="1:3">
      <c r="A686" s="343"/>
      <c r="B686" s="335"/>
      <c r="C686" s="336"/>
    </row>
    <row r="687" spans="1:3">
      <c r="A687" s="343"/>
      <c r="B687" s="335"/>
      <c r="C687" s="336"/>
    </row>
    <row r="688" spans="1:3">
      <c r="A688" s="343"/>
      <c r="B688" s="335"/>
      <c r="C688" s="336"/>
    </row>
    <row r="689" spans="1:3">
      <c r="A689" s="343"/>
      <c r="B689" s="335"/>
      <c r="C689" s="336"/>
    </row>
    <row r="690" spans="1:3">
      <c r="A690" s="343"/>
      <c r="B690" s="335"/>
      <c r="C690" s="336"/>
    </row>
    <row r="691" spans="1:3">
      <c r="A691" s="343"/>
      <c r="B691" s="335"/>
      <c r="C691" s="336"/>
    </row>
    <row r="692" spans="1:3">
      <c r="A692" s="343"/>
      <c r="B692" s="335"/>
      <c r="C692" s="336"/>
    </row>
    <row r="693" spans="1:3">
      <c r="A693" s="343"/>
      <c r="B693" s="335"/>
      <c r="C693" s="336"/>
    </row>
    <row r="694" spans="1:3">
      <c r="A694" s="343"/>
      <c r="B694" s="335"/>
      <c r="C694" s="336"/>
    </row>
    <row r="695" spans="1:3">
      <c r="A695" s="343"/>
      <c r="B695" s="335"/>
      <c r="C695" s="336"/>
    </row>
    <row r="696" spans="1:3">
      <c r="A696" s="343"/>
      <c r="B696" s="335"/>
      <c r="C696" s="336"/>
    </row>
    <row r="697" spans="1:3">
      <c r="A697" s="343"/>
      <c r="B697" s="335"/>
      <c r="C697" s="336"/>
    </row>
    <row r="698" spans="1:3">
      <c r="A698" s="343"/>
      <c r="B698" s="335"/>
      <c r="C698" s="336"/>
    </row>
    <row r="699" spans="1:3">
      <c r="A699" s="343"/>
      <c r="B699" s="335"/>
      <c r="C699" s="336"/>
    </row>
    <row r="700" spans="1:3">
      <c r="A700" s="343"/>
      <c r="B700" s="335"/>
      <c r="C700" s="336"/>
    </row>
    <row r="701" spans="1:3">
      <c r="A701" s="343"/>
      <c r="B701" s="335"/>
      <c r="C701" s="336"/>
    </row>
    <row r="702" spans="1:3">
      <c r="A702" s="343"/>
      <c r="B702" s="335"/>
      <c r="C702" s="336"/>
    </row>
    <row r="703" spans="1:3">
      <c r="A703" s="343"/>
      <c r="B703" s="335"/>
      <c r="C703" s="336"/>
    </row>
    <row r="704" spans="1:3">
      <c r="A704" s="343"/>
      <c r="B704" s="335"/>
      <c r="C704" s="336"/>
    </row>
    <row r="705" spans="1:3">
      <c r="A705" s="343"/>
      <c r="B705" s="335"/>
      <c r="C705" s="336"/>
    </row>
    <row r="706" spans="1:3">
      <c r="A706" s="343"/>
      <c r="B706" s="335"/>
      <c r="C706" s="336"/>
    </row>
    <row r="707" spans="1:3">
      <c r="A707" s="343"/>
      <c r="B707" s="335"/>
      <c r="C707" s="336"/>
    </row>
    <row r="708" spans="1:3">
      <c r="A708" s="343"/>
      <c r="B708" s="335"/>
      <c r="C708" s="336"/>
    </row>
    <row r="709" spans="1:3">
      <c r="A709" s="343"/>
      <c r="B709" s="335"/>
      <c r="C709" s="336"/>
    </row>
    <row r="710" spans="1:3">
      <c r="A710" s="343"/>
      <c r="B710" s="335"/>
      <c r="C710" s="336"/>
    </row>
    <row r="711" spans="1:3">
      <c r="A711" s="343"/>
      <c r="B711" s="335"/>
      <c r="C711" s="336"/>
    </row>
    <row r="712" spans="1:3">
      <c r="A712" s="343"/>
      <c r="B712" s="335"/>
      <c r="C712" s="336"/>
    </row>
    <row r="713" spans="1:3">
      <c r="A713" s="343"/>
      <c r="B713" s="335"/>
      <c r="C713" s="336"/>
    </row>
    <row r="714" spans="1:3">
      <c r="A714" s="343"/>
      <c r="B714" s="335"/>
      <c r="C714" s="336"/>
    </row>
    <row r="715" spans="1:3">
      <c r="A715" s="343"/>
      <c r="B715" s="335"/>
      <c r="C715" s="336"/>
    </row>
    <row r="716" spans="1:3">
      <c r="A716" s="343"/>
      <c r="B716" s="335"/>
      <c r="C716" s="336"/>
    </row>
    <row r="717" spans="1:3">
      <c r="A717" s="343"/>
      <c r="B717" s="335"/>
      <c r="C717" s="336"/>
    </row>
    <row r="718" spans="1:3">
      <c r="A718" s="343"/>
      <c r="B718" s="335"/>
      <c r="C718" s="336"/>
    </row>
    <row r="719" spans="1:3">
      <c r="A719" s="343"/>
      <c r="B719" s="335"/>
      <c r="C719" s="336"/>
    </row>
    <row r="720" spans="1:3">
      <c r="A720" s="343"/>
      <c r="B720" s="335"/>
      <c r="C720" s="336"/>
    </row>
    <row r="721" spans="1:3">
      <c r="A721" s="343"/>
      <c r="B721" s="335"/>
      <c r="C721" s="336"/>
    </row>
    <row r="722" spans="1:3">
      <c r="A722" s="343"/>
      <c r="B722" s="335"/>
      <c r="C722" s="336"/>
    </row>
    <row r="723" spans="1:3">
      <c r="A723" s="343"/>
      <c r="B723" s="335"/>
      <c r="C723" s="336"/>
    </row>
    <row r="724" spans="1:3">
      <c r="A724" s="343"/>
      <c r="B724" s="335"/>
      <c r="C724" s="336"/>
    </row>
    <row r="725" spans="1:3">
      <c r="A725" s="343"/>
      <c r="B725" s="335"/>
      <c r="C725" s="336"/>
    </row>
    <row r="726" spans="1:3">
      <c r="A726" s="343"/>
      <c r="B726" s="335"/>
      <c r="C726" s="336"/>
    </row>
    <row r="727" spans="1:3">
      <c r="A727" s="343"/>
      <c r="B727" s="335"/>
      <c r="C727" s="336"/>
    </row>
    <row r="728" spans="1:3">
      <c r="A728" s="343"/>
      <c r="B728" s="335"/>
      <c r="C728" s="336"/>
    </row>
    <row r="729" spans="1:3">
      <c r="A729" s="343"/>
      <c r="B729" s="335"/>
      <c r="C729" s="336"/>
    </row>
    <row r="730" spans="1:3">
      <c r="A730" s="343"/>
      <c r="B730" s="335"/>
      <c r="C730" s="336"/>
    </row>
    <row r="731" spans="1:3">
      <c r="A731" s="343"/>
      <c r="B731" s="335"/>
      <c r="C731" s="336"/>
    </row>
    <row r="732" spans="1:3">
      <c r="A732" s="343"/>
      <c r="B732" s="335"/>
      <c r="C732" s="336"/>
    </row>
    <row r="733" spans="1:3">
      <c r="A733" s="343"/>
      <c r="B733" s="335"/>
      <c r="C733" s="336"/>
    </row>
    <row r="734" spans="1:3">
      <c r="A734" s="343"/>
      <c r="B734" s="335"/>
      <c r="C734" s="336"/>
    </row>
    <row r="735" spans="1:3">
      <c r="A735" s="343"/>
      <c r="B735" s="335"/>
      <c r="C735" s="336"/>
    </row>
    <row r="736" spans="1:3">
      <c r="A736" s="343"/>
      <c r="B736" s="335"/>
      <c r="C736" s="336"/>
    </row>
    <row r="737" spans="1:3">
      <c r="A737" s="343"/>
      <c r="B737" s="335"/>
      <c r="C737" s="336"/>
    </row>
    <row r="738" spans="1:3">
      <c r="A738" s="343"/>
      <c r="B738" s="335"/>
      <c r="C738" s="336"/>
    </row>
    <row r="739" spans="1:3">
      <c r="A739" s="343"/>
      <c r="B739" s="335"/>
      <c r="C739" s="336"/>
    </row>
    <row r="740" spans="1:3">
      <c r="A740" s="343"/>
      <c r="B740" s="335"/>
      <c r="C740" s="336"/>
    </row>
    <row r="741" spans="1:3">
      <c r="A741" s="343"/>
      <c r="B741" s="335"/>
      <c r="C741" s="336"/>
    </row>
    <row r="742" spans="1:3">
      <c r="A742" s="343"/>
      <c r="B742" s="335"/>
      <c r="C742" s="336"/>
    </row>
    <row r="743" spans="1:3">
      <c r="A743" s="343"/>
      <c r="B743" s="335"/>
      <c r="C743" s="336"/>
    </row>
    <row r="744" spans="1:3">
      <c r="A744" s="343"/>
      <c r="B744" s="335"/>
      <c r="C744" s="336"/>
    </row>
    <row r="745" spans="1:3">
      <c r="A745" s="343"/>
      <c r="B745" s="335"/>
      <c r="C745" s="336"/>
    </row>
    <row r="746" spans="1:3">
      <c r="A746" s="343"/>
      <c r="B746" s="335"/>
      <c r="C746" s="336"/>
    </row>
    <row r="747" spans="1:3">
      <c r="A747" s="343"/>
      <c r="B747" s="335"/>
      <c r="C747" s="336"/>
    </row>
    <row r="748" spans="1:3">
      <c r="A748" s="343"/>
      <c r="B748" s="335"/>
      <c r="C748" s="336"/>
    </row>
    <row r="749" spans="1:3">
      <c r="A749" s="343"/>
      <c r="B749" s="335"/>
      <c r="C749" s="336"/>
    </row>
    <row r="750" spans="1:3">
      <c r="A750" s="343"/>
      <c r="B750" s="335"/>
      <c r="C750" s="336"/>
    </row>
    <row r="751" spans="1:3">
      <c r="A751" s="343"/>
      <c r="B751" s="335"/>
      <c r="C751" s="336"/>
    </row>
    <row r="752" spans="1:3">
      <c r="A752" s="343"/>
      <c r="B752" s="335"/>
      <c r="C752" s="336"/>
    </row>
    <row r="753" spans="1:3">
      <c r="A753" s="343"/>
      <c r="B753" s="335"/>
      <c r="C753" s="336"/>
    </row>
    <row r="754" spans="1:3">
      <c r="A754" s="343"/>
      <c r="B754" s="335"/>
      <c r="C754" s="336"/>
    </row>
    <row r="755" spans="1:3">
      <c r="A755" s="343"/>
      <c r="B755" s="335"/>
      <c r="C755" s="336"/>
    </row>
    <row r="756" spans="1:3">
      <c r="A756" s="343"/>
      <c r="B756" s="335"/>
      <c r="C756" s="336"/>
    </row>
    <row r="757" spans="1:3">
      <c r="A757" s="343"/>
      <c r="B757" s="335"/>
      <c r="C757" s="336"/>
    </row>
    <row r="758" spans="1:3">
      <c r="A758" s="343"/>
      <c r="B758" s="335"/>
      <c r="C758" s="336"/>
    </row>
    <row r="759" spans="1:3">
      <c r="A759" s="343"/>
      <c r="B759" s="335"/>
      <c r="C759" s="336"/>
    </row>
    <row r="760" spans="1:3">
      <c r="A760" s="343"/>
      <c r="B760" s="335"/>
      <c r="C760" s="336"/>
    </row>
    <row r="761" spans="1:3">
      <c r="A761" s="343"/>
      <c r="B761" s="335"/>
      <c r="C761" s="336"/>
    </row>
    <row r="762" spans="1:3">
      <c r="A762" s="343"/>
      <c r="B762" s="335"/>
      <c r="C762" s="336"/>
    </row>
    <row r="763" spans="1:3">
      <c r="A763" s="343"/>
      <c r="B763" s="335"/>
      <c r="C763" s="336"/>
    </row>
    <row r="764" spans="1:3">
      <c r="A764" s="343"/>
      <c r="B764" s="335"/>
      <c r="C764" s="336"/>
    </row>
    <row r="765" spans="1:3">
      <c r="A765" s="343"/>
      <c r="B765" s="335"/>
      <c r="C765" s="336"/>
    </row>
    <row r="766" spans="1:3">
      <c r="A766" s="343"/>
      <c r="B766" s="335"/>
      <c r="C766" s="336"/>
    </row>
    <row r="767" spans="1:3">
      <c r="A767" s="343"/>
      <c r="B767" s="335"/>
      <c r="C767" s="336"/>
    </row>
    <row r="768" spans="1:3">
      <c r="A768" s="343"/>
      <c r="B768" s="335"/>
      <c r="C768" s="336"/>
    </row>
    <row r="769" spans="1:3">
      <c r="A769" s="343"/>
      <c r="B769" s="335"/>
      <c r="C769" s="336"/>
    </row>
    <row r="770" spans="1:3">
      <c r="A770" s="343"/>
      <c r="B770" s="335"/>
      <c r="C770" s="336"/>
    </row>
    <row r="771" spans="1:3">
      <c r="A771" s="343"/>
      <c r="B771" s="335"/>
      <c r="C771" s="336"/>
    </row>
    <row r="772" spans="1:3">
      <c r="A772" s="343"/>
      <c r="B772" s="335"/>
      <c r="C772" s="336"/>
    </row>
    <row r="773" spans="1:3">
      <c r="A773" s="343"/>
      <c r="B773" s="335"/>
      <c r="C773" s="336"/>
    </row>
    <row r="774" spans="1:3">
      <c r="A774" s="343"/>
      <c r="B774" s="335"/>
      <c r="C774" s="336"/>
    </row>
    <row r="775" spans="1:3">
      <c r="A775" s="343"/>
      <c r="B775" s="335"/>
      <c r="C775" s="336"/>
    </row>
    <row r="776" spans="1:3">
      <c r="A776" s="343"/>
      <c r="B776" s="335"/>
      <c r="C776" s="336"/>
    </row>
    <row r="777" spans="1:3">
      <c r="A777" s="343"/>
      <c r="B777" s="335"/>
      <c r="C777" s="336"/>
    </row>
    <row r="778" spans="1:3">
      <c r="A778" s="343"/>
      <c r="B778" s="335"/>
      <c r="C778" s="336"/>
    </row>
    <row r="779" spans="1:3">
      <c r="A779" s="343"/>
      <c r="B779" s="335"/>
      <c r="C779" s="336"/>
    </row>
    <row r="780" spans="1:3">
      <c r="A780" s="343"/>
      <c r="B780" s="335"/>
      <c r="C780" s="336"/>
    </row>
    <row r="781" spans="1:3">
      <c r="A781" s="343"/>
      <c r="B781" s="335"/>
      <c r="C781" s="336"/>
    </row>
    <row r="782" spans="1:3">
      <c r="A782" s="343"/>
      <c r="B782" s="335"/>
      <c r="C782" s="336"/>
    </row>
    <row r="783" spans="1:3">
      <c r="A783" s="343"/>
      <c r="B783" s="335"/>
      <c r="C783" s="336"/>
    </row>
    <row r="784" spans="1:3">
      <c r="A784" s="343"/>
      <c r="B784" s="335"/>
      <c r="C784" s="336"/>
    </row>
    <row r="785" spans="1:3">
      <c r="A785" s="343"/>
      <c r="B785" s="335"/>
      <c r="C785" s="336"/>
    </row>
    <row r="786" spans="1:3">
      <c r="A786" s="343"/>
      <c r="B786" s="335"/>
      <c r="C786" s="336"/>
    </row>
    <row r="787" spans="1:3">
      <c r="A787" s="343"/>
      <c r="B787" s="335"/>
      <c r="C787" s="336"/>
    </row>
    <row r="788" spans="1:3">
      <c r="A788" s="343"/>
      <c r="B788" s="335"/>
      <c r="C788" s="336"/>
    </row>
    <row r="789" spans="1:3">
      <c r="A789" s="343"/>
      <c r="B789" s="335"/>
      <c r="C789" s="336"/>
    </row>
    <row r="790" spans="1:3">
      <c r="A790" s="343"/>
      <c r="B790" s="335"/>
      <c r="C790" s="336"/>
    </row>
    <row r="791" spans="1:3">
      <c r="A791" s="343"/>
      <c r="B791" s="335"/>
      <c r="C791" s="336"/>
    </row>
    <row r="792" spans="1:3">
      <c r="A792" s="343"/>
      <c r="B792" s="335"/>
      <c r="C792" s="336"/>
    </row>
    <row r="793" spans="1:3">
      <c r="A793" s="343"/>
      <c r="B793" s="335"/>
      <c r="C793" s="336"/>
    </row>
    <row r="794" spans="1:3">
      <c r="A794" s="343"/>
      <c r="B794" s="335"/>
      <c r="C794" s="336"/>
    </row>
    <row r="795" spans="1:3">
      <c r="A795" s="343"/>
      <c r="B795" s="335"/>
      <c r="C795" s="336"/>
    </row>
    <row r="796" spans="1:3">
      <c r="A796" s="343"/>
      <c r="B796" s="335"/>
      <c r="C796" s="336"/>
    </row>
    <row r="797" spans="1:3">
      <c r="A797" s="343"/>
      <c r="B797" s="335"/>
      <c r="C797" s="336"/>
    </row>
    <row r="798" spans="1:3">
      <c r="A798" s="343"/>
      <c r="B798" s="335"/>
      <c r="C798" s="336"/>
    </row>
    <row r="799" spans="1:3">
      <c r="A799" s="343"/>
      <c r="B799" s="335"/>
      <c r="C799" s="336"/>
    </row>
    <row r="800" spans="1:3">
      <c r="A800" s="343"/>
      <c r="B800" s="335"/>
      <c r="C800" s="336"/>
    </row>
    <row r="801" spans="1:3">
      <c r="A801" s="343"/>
      <c r="B801" s="335"/>
      <c r="C801" s="336"/>
    </row>
    <row r="802" spans="1:3">
      <c r="A802" s="343"/>
      <c r="B802" s="335"/>
      <c r="C802" s="336"/>
    </row>
    <row r="803" spans="1:3">
      <c r="A803" s="343"/>
      <c r="B803" s="335"/>
      <c r="C803" s="336"/>
    </row>
    <row r="804" spans="1:3">
      <c r="A804" s="343"/>
      <c r="B804" s="335"/>
      <c r="C804" s="336"/>
    </row>
    <row r="805" spans="1:3">
      <c r="A805" s="343"/>
      <c r="B805" s="335"/>
      <c r="C805" s="336"/>
    </row>
    <row r="806" spans="1:3">
      <c r="A806" s="343"/>
      <c r="B806" s="335"/>
      <c r="C806" s="336"/>
    </row>
    <row r="807" spans="1:3">
      <c r="A807" s="343"/>
      <c r="B807" s="335"/>
      <c r="C807" s="336"/>
    </row>
    <row r="808" spans="1:3">
      <c r="A808" s="343"/>
      <c r="B808" s="335"/>
      <c r="C808" s="336"/>
    </row>
    <row r="809" spans="1:3">
      <c r="A809" s="343"/>
      <c r="B809" s="335"/>
      <c r="C809" s="336"/>
    </row>
    <row r="810" spans="1:3">
      <c r="A810" s="343"/>
      <c r="B810" s="335"/>
      <c r="C810" s="336"/>
    </row>
    <row r="811" spans="1:3">
      <c r="A811" s="343"/>
      <c r="B811" s="335"/>
      <c r="C811" s="336"/>
    </row>
    <row r="812" spans="1:3">
      <c r="A812" s="343"/>
      <c r="B812" s="335"/>
      <c r="C812" s="336"/>
    </row>
    <row r="813" spans="1:3">
      <c r="A813" s="343"/>
      <c r="B813" s="335"/>
      <c r="C813" s="336"/>
    </row>
    <row r="814" spans="1:3">
      <c r="A814" s="343"/>
      <c r="B814" s="335"/>
      <c r="C814" s="336"/>
    </row>
    <row r="815" spans="1:3">
      <c r="A815" s="343"/>
      <c r="B815" s="335"/>
      <c r="C815" s="336"/>
    </row>
    <row r="816" spans="1:3">
      <c r="A816" s="343"/>
      <c r="B816" s="335"/>
      <c r="C816" s="336"/>
    </row>
    <row r="817" spans="1:3">
      <c r="A817" s="343"/>
      <c r="B817" s="335"/>
      <c r="C817" s="336"/>
    </row>
    <row r="818" spans="1:3">
      <c r="A818" s="343"/>
      <c r="B818" s="335"/>
      <c r="C818" s="336"/>
    </row>
    <row r="819" spans="1:3">
      <c r="A819" s="343"/>
      <c r="B819" s="335"/>
      <c r="C819" s="336"/>
    </row>
    <row r="820" spans="1:3">
      <c r="A820" s="343"/>
      <c r="B820" s="335"/>
      <c r="C820" s="336"/>
    </row>
    <row r="821" spans="1:3">
      <c r="A821" s="343"/>
      <c r="B821" s="335"/>
      <c r="C821" s="336"/>
    </row>
    <row r="822" spans="1:3">
      <c r="A822" s="343"/>
      <c r="B822" s="335"/>
      <c r="C822" s="336"/>
    </row>
    <row r="823" spans="1:3">
      <c r="A823" s="343"/>
      <c r="B823" s="335"/>
      <c r="C823" s="336"/>
    </row>
    <row r="824" spans="1:3">
      <c r="A824" s="343"/>
      <c r="B824" s="335"/>
      <c r="C824" s="336"/>
    </row>
    <row r="825" spans="1:3">
      <c r="A825" s="343"/>
      <c r="B825" s="335"/>
      <c r="C825" s="336"/>
    </row>
    <row r="826" spans="1:3">
      <c r="A826" s="343"/>
      <c r="B826" s="335"/>
      <c r="C826" s="336"/>
    </row>
    <row r="827" spans="1:3">
      <c r="A827" s="343"/>
      <c r="B827" s="335"/>
      <c r="C827" s="336"/>
    </row>
    <row r="828" spans="1:3">
      <c r="A828" s="343"/>
      <c r="B828" s="335"/>
      <c r="C828" s="336"/>
    </row>
    <row r="829" spans="1:3">
      <c r="A829" s="343"/>
      <c r="B829" s="335"/>
      <c r="C829" s="336"/>
    </row>
    <row r="830" spans="1:3">
      <c r="A830" s="343"/>
      <c r="B830" s="335"/>
      <c r="C830" s="336"/>
    </row>
    <row r="831" spans="1:3">
      <c r="A831" s="343"/>
      <c r="B831" s="335"/>
      <c r="C831" s="336"/>
    </row>
    <row r="832" spans="1:3">
      <c r="A832" s="343"/>
      <c r="B832" s="335"/>
      <c r="C832" s="336"/>
    </row>
    <row r="833" spans="1:3">
      <c r="A833" s="343"/>
      <c r="B833" s="335"/>
      <c r="C833" s="336"/>
    </row>
    <row r="834" spans="1:3">
      <c r="A834" s="343"/>
      <c r="B834" s="335"/>
      <c r="C834" s="336"/>
    </row>
    <row r="835" spans="1:3">
      <c r="A835" s="343"/>
      <c r="B835" s="335"/>
      <c r="C835" s="336"/>
    </row>
    <row r="836" spans="1:3">
      <c r="A836" s="343"/>
      <c r="B836" s="335"/>
      <c r="C836" s="336"/>
    </row>
    <row r="837" spans="1:3">
      <c r="A837" s="343"/>
      <c r="B837" s="335"/>
      <c r="C837" s="336"/>
    </row>
    <row r="838" spans="1:3">
      <c r="A838" s="343"/>
      <c r="B838" s="335"/>
      <c r="C838" s="336"/>
    </row>
    <row r="839" spans="1:3">
      <c r="A839" s="343"/>
      <c r="B839" s="335"/>
      <c r="C839" s="336"/>
    </row>
    <row r="840" spans="1:3">
      <c r="A840" s="343"/>
      <c r="B840" s="335"/>
      <c r="C840" s="336"/>
    </row>
    <row r="841" spans="1:3">
      <c r="A841" s="343"/>
      <c r="B841" s="335"/>
      <c r="C841" s="336"/>
    </row>
    <row r="842" spans="1:3">
      <c r="A842" s="343"/>
      <c r="B842" s="335"/>
      <c r="C842" s="336"/>
    </row>
    <row r="843" spans="1:3">
      <c r="A843" s="343"/>
      <c r="B843" s="335"/>
      <c r="C843" s="336"/>
    </row>
    <row r="844" spans="1:3">
      <c r="A844" s="343"/>
      <c r="B844" s="335"/>
      <c r="C844" s="336"/>
    </row>
    <row r="845" spans="1:3">
      <c r="A845" s="343"/>
      <c r="B845" s="335"/>
      <c r="C845" s="336"/>
    </row>
    <row r="846" spans="1:3">
      <c r="A846" s="343"/>
      <c r="B846" s="335"/>
      <c r="C846" s="336"/>
    </row>
    <row r="847" spans="1:3">
      <c r="A847" s="343"/>
      <c r="B847" s="335"/>
      <c r="C847" s="336"/>
    </row>
    <row r="848" spans="1:3">
      <c r="A848" s="343"/>
      <c r="B848" s="335"/>
      <c r="C848" s="336"/>
    </row>
    <row r="849" spans="1:3">
      <c r="A849" s="343"/>
      <c r="B849" s="335"/>
      <c r="C849" s="336"/>
    </row>
    <row r="850" spans="1:3">
      <c r="A850" s="343"/>
      <c r="B850" s="335"/>
      <c r="C850" s="336"/>
    </row>
    <row r="851" spans="1:3">
      <c r="A851" s="343"/>
      <c r="B851" s="335"/>
      <c r="C851" s="336"/>
    </row>
    <row r="852" spans="1:3">
      <c r="A852" s="343"/>
      <c r="B852" s="335"/>
      <c r="C852" s="336"/>
    </row>
    <row r="853" spans="1:3">
      <c r="A853" s="343"/>
      <c r="B853" s="335"/>
      <c r="C853" s="336"/>
    </row>
    <row r="854" spans="1:3">
      <c r="A854" s="343"/>
      <c r="B854" s="335"/>
      <c r="C854" s="336"/>
    </row>
    <row r="855" spans="1:3">
      <c r="A855" s="343"/>
      <c r="B855" s="335"/>
      <c r="C855" s="336"/>
    </row>
    <row r="856" spans="1:3">
      <c r="A856" s="343"/>
      <c r="B856" s="335"/>
      <c r="C856" s="336"/>
    </row>
    <row r="857" spans="1:3">
      <c r="A857" s="343"/>
      <c r="B857" s="335"/>
      <c r="C857" s="336"/>
    </row>
    <row r="858" spans="1:3">
      <c r="A858" s="343"/>
      <c r="B858" s="335"/>
      <c r="C858" s="336"/>
    </row>
    <row r="859" spans="1:3">
      <c r="A859" s="343"/>
      <c r="B859" s="335"/>
      <c r="C859" s="336"/>
    </row>
    <row r="860" spans="1:3">
      <c r="A860" s="343"/>
      <c r="B860" s="335"/>
      <c r="C860" s="336"/>
    </row>
    <row r="861" spans="1:3">
      <c r="A861" s="343"/>
      <c r="B861" s="335"/>
      <c r="C861" s="336"/>
    </row>
    <row r="862" spans="1:3">
      <c r="A862" s="343"/>
      <c r="B862" s="335"/>
      <c r="C862" s="336"/>
    </row>
    <row r="863" spans="1:3">
      <c r="A863" s="343"/>
      <c r="B863" s="335"/>
      <c r="C863" s="336"/>
    </row>
    <row r="864" spans="1:3">
      <c r="A864" s="343"/>
      <c r="B864" s="335"/>
      <c r="C864" s="336"/>
    </row>
    <row r="865" spans="1:3">
      <c r="A865" s="343"/>
      <c r="B865" s="335"/>
      <c r="C865" s="336"/>
    </row>
    <row r="866" spans="1:3">
      <c r="A866" s="343"/>
      <c r="B866" s="335"/>
      <c r="C866" s="336"/>
    </row>
    <row r="867" spans="1:3">
      <c r="A867" s="343"/>
      <c r="B867" s="335"/>
      <c r="C867" s="336"/>
    </row>
    <row r="868" spans="1:3">
      <c r="A868" s="343"/>
      <c r="B868" s="335"/>
      <c r="C868" s="336"/>
    </row>
    <row r="869" spans="1:3">
      <c r="A869" s="343"/>
      <c r="B869" s="335"/>
      <c r="C869" s="336"/>
    </row>
    <row r="870" spans="1:3">
      <c r="A870" s="343"/>
      <c r="B870" s="335"/>
      <c r="C870" s="336"/>
    </row>
    <row r="871" spans="1:3">
      <c r="A871" s="343"/>
      <c r="B871" s="335"/>
      <c r="C871" s="336"/>
    </row>
    <row r="872" spans="1:3">
      <c r="A872" s="343"/>
      <c r="B872" s="335"/>
      <c r="C872" s="336"/>
    </row>
    <row r="873" spans="1:3">
      <c r="A873" s="343"/>
      <c r="B873" s="335"/>
      <c r="C873" s="336"/>
    </row>
    <row r="874" spans="1:3">
      <c r="A874" s="343"/>
      <c r="B874" s="335"/>
      <c r="C874" s="336"/>
    </row>
    <row r="875" spans="1:3">
      <c r="A875" s="343"/>
      <c r="B875" s="335"/>
      <c r="C875" s="336"/>
    </row>
    <row r="876" spans="1:3">
      <c r="A876" s="343"/>
      <c r="B876" s="335"/>
      <c r="C876" s="336"/>
    </row>
    <row r="877" spans="1:3">
      <c r="A877" s="343"/>
      <c r="B877" s="335"/>
      <c r="C877" s="336"/>
    </row>
    <row r="878" spans="1:3">
      <c r="A878" s="343"/>
      <c r="B878" s="335"/>
      <c r="C878" s="336"/>
    </row>
    <row r="879" spans="1:3">
      <c r="A879" s="343"/>
      <c r="B879" s="335"/>
      <c r="C879" s="336"/>
    </row>
    <row r="880" spans="1:3">
      <c r="A880" s="343"/>
      <c r="B880" s="335"/>
      <c r="C880" s="336"/>
    </row>
    <row r="881" spans="1:3">
      <c r="A881" s="343"/>
      <c r="B881" s="335"/>
      <c r="C881" s="336"/>
    </row>
    <row r="882" spans="1:3">
      <c r="A882" s="343"/>
      <c r="B882" s="335"/>
      <c r="C882" s="336"/>
    </row>
    <row r="883" spans="1:3">
      <c r="A883" s="343"/>
      <c r="B883" s="335"/>
      <c r="C883" s="336"/>
    </row>
    <row r="884" spans="1:3">
      <c r="A884" s="343"/>
      <c r="B884" s="335"/>
      <c r="C884" s="336"/>
    </row>
    <row r="885" spans="1:3">
      <c r="A885" s="343"/>
      <c r="B885" s="335"/>
      <c r="C885" s="336"/>
    </row>
    <row r="886" spans="1:3">
      <c r="A886" s="343"/>
      <c r="B886" s="335"/>
      <c r="C886" s="336"/>
    </row>
    <row r="887" spans="1:3">
      <c r="A887" s="343"/>
      <c r="B887" s="335"/>
      <c r="C887" s="336"/>
    </row>
    <row r="888" spans="1:3">
      <c r="A888" s="343"/>
      <c r="B888" s="335"/>
      <c r="C888" s="336"/>
    </row>
    <row r="889" spans="1:3">
      <c r="A889" s="343"/>
      <c r="B889" s="335"/>
      <c r="C889" s="336"/>
    </row>
    <row r="890" spans="1:3">
      <c r="A890" s="343"/>
      <c r="B890" s="335"/>
      <c r="C890" s="336"/>
    </row>
    <row r="891" spans="1:3">
      <c r="A891" s="343"/>
      <c r="B891" s="335"/>
      <c r="C891" s="336"/>
    </row>
    <row r="892" spans="1:3">
      <c r="A892" s="343"/>
      <c r="B892" s="335"/>
      <c r="C892" s="336"/>
    </row>
    <row r="893" spans="1:3">
      <c r="A893" s="343"/>
      <c r="B893" s="335"/>
      <c r="C893" s="336"/>
    </row>
    <row r="894" spans="1:3">
      <c r="A894" s="343"/>
      <c r="B894" s="335"/>
      <c r="C894" s="336"/>
    </row>
    <row r="895" spans="1:3">
      <c r="A895" s="343"/>
      <c r="B895" s="335"/>
      <c r="C895" s="336"/>
    </row>
    <row r="896" spans="1:3">
      <c r="A896" s="343"/>
      <c r="B896" s="335"/>
      <c r="C896" s="336"/>
    </row>
    <row r="897" spans="1:3">
      <c r="A897" s="343"/>
      <c r="B897" s="335"/>
      <c r="C897" s="336"/>
    </row>
    <row r="898" spans="1:3">
      <c r="A898" s="343"/>
      <c r="B898" s="335"/>
      <c r="C898" s="336"/>
    </row>
    <row r="899" spans="1:3">
      <c r="A899" s="343"/>
      <c r="B899" s="335"/>
      <c r="C899" s="336"/>
    </row>
    <row r="900" spans="1:3">
      <c r="A900" s="343"/>
      <c r="B900" s="335"/>
      <c r="C900" s="336"/>
    </row>
    <row r="901" spans="1:3">
      <c r="A901" s="343"/>
      <c r="B901" s="335"/>
      <c r="C901" s="336"/>
    </row>
    <row r="902" spans="1:3">
      <c r="A902" s="343"/>
      <c r="B902" s="335"/>
      <c r="C902" s="336"/>
    </row>
    <row r="903" spans="1:3">
      <c r="A903" s="343"/>
      <c r="B903" s="335"/>
      <c r="C903" s="336"/>
    </row>
    <row r="904" spans="1:3">
      <c r="A904" s="343"/>
      <c r="B904" s="335"/>
      <c r="C904" s="336"/>
    </row>
    <row r="905" spans="1:3">
      <c r="A905" s="343"/>
      <c r="B905" s="335"/>
      <c r="C905" s="336"/>
    </row>
    <row r="906" spans="1:3">
      <c r="A906" s="343"/>
      <c r="B906" s="335"/>
      <c r="C906" s="336"/>
    </row>
    <row r="907" spans="1:3">
      <c r="A907" s="343"/>
      <c r="B907" s="335"/>
      <c r="C907" s="336"/>
    </row>
    <row r="908" spans="1:3">
      <c r="A908" s="343"/>
      <c r="B908" s="335"/>
      <c r="C908" s="336"/>
    </row>
    <row r="909" spans="1:3">
      <c r="A909" s="343"/>
      <c r="B909" s="335"/>
      <c r="C909" s="336"/>
    </row>
    <row r="910" spans="1:3">
      <c r="A910" s="343"/>
      <c r="B910" s="335"/>
      <c r="C910" s="336"/>
    </row>
    <row r="911" spans="1:3">
      <c r="A911" s="343"/>
      <c r="B911" s="335"/>
      <c r="C911" s="336"/>
    </row>
    <row r="912" spans="1:3">
      <c r="A912" s="343"/>
      <c r="B912" s="335"/>
      <c r="C912" s="336"/>
    </row>
    <row r="913" spans="1:3">
      <c r="A913" s="343"/>
      <c r="B913" s="335"/>
      <c r="C913" s="336"/>
    </row>
    <row r="914" spans="1:3">
      <c r="A914" s="343"/>
      <c r="B914" s="335"/>
      <c r="C914" s="336"/>
    </row>
    <row r="915" spans="1:3">
      <c r="A915" s="346"/>
      <c r="B915" s="344"/>
      <c r="C915" s="34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1019"/>
  <sheetViews>
    <sheetView workbookViewId="0">
      <pane xSplit="5" ySplit="1" topLeftCell="G23" activePane="bottomRight" state="frozen"/>
      <selection pane="topRight" activeCell="F1" sqref="F1"/>
      <selection pane="bottomLeft" activeCell="A2" sqref="A2"/>
      <selection pane="bottomRight" activeCell="I33" sqref="I33"/>
    </sheetView>
  </sheetViews>
  <sheetFormatPr baseColWidth="10" defaultColWidth="12.5546875" defaultRowHeight="15.75" customHeight="1"/>
  <cols>
    <col min="2" max="4" width="12.5546875" hidden="1"/>
    <col min="5" max="5" width="28.44140625" customWidth="1"/>
    <col min="6" max="6" width="64.5546875" customWidth="1"/>
    <col min="7" max="7" width="61.88671875" customWidth="1"/>
    <col min="8" max="8" width="23" customWidth="1"/>
    <col min="17" max="17" width="12.5546875" customWidth="1"/>
    <col min="18" max="18" width="36.6640625" customWidth="1"/>
    <col min="19" max="19" width="50.44140625" customWidth="1"/>
    <col min="20" max="20" width="52.5546875" customWidth="1"/>
    <col min="21" max="21" width="44.88671875" bestFit="1" customWidth="1"/>
    <col min="22" max="22" width="41.88671875" customWidth="1"/>
    <col min="23" max="23" width="24.109375" customWidth="1"/>
  </cols>
  <sheetData>
    <row r="1" spans="1:35" ht="16.2">
      <c r="A1" s="223"/>
      <c r="B1" s="224" t="s">
        <v>87</v>
      </c>
      <c r="C1" s="224" t="s">
        <v>88</v>
      </c>
      <c r="D1" s="224" t="s">
        <v>89</v>
      </c>
      <c r="E1" s="224" t="s">
        <v>90</v>
      </c>
      <c r="F1" s="224" t="s">
        <v>91</v>
      </c>
      <c r="G1" s="224" t="s">
        <v>92</v>
      </c>
      <c r="H1" s="224" t="s">
        <v>93</v>
      </c>
      <c r="I1" s="224" t="s">
        <v>94</v>
      </c>
      <c r="J1" s="224" t="s">
        <v>95</v>
      </c>
      <c r="K1" s="225" t="s">
        <v>96</v>
      </c>
      <c r="L1" s="226" t="s">
        <v>97</v>
      </c>
      <c r="M1" s="226" t="s">
        <v>98</v>
      </c>
      <c r="N1" s="226" t="s">
        <v>99</v>
      </c>
      <c r="O1" s="227" t="s">
        <v>100</v>
      </c>
      <c r="P1" s="228" t="s">
        <v>101</v>
      </c>
      <c r="Q1" s="229">
        <v>45505</v>
      </c>
      <c r="R1" s="229">
        <v>45536</v>
      </c>
      <c r="S1" s="229">
        <v>45596</v>
      </c>
      <c r="T1" s="229">
        <v>45626</v>
      </c>
      <c r="U1" s="229">
        <v>45657</v>
      </c>
      <c r="V1" s="230" t="s">
        <v>102</v>
      </c>
      <c r="W1" s="230" t="s">
        <v>103</v>
      </c>
    </row>
    <row r="2" spans="1:35" ht="13.8">
      <c r="A2" s="478" t="s">
        <v>104</v>
      </c>
      <c r="B2" s="482"/>
      <c r="C2" s="486" t="s">
        <v>105</v>
      </c>
      <c r="D2" s="488" t="s">
        <v>106</v>
      </c>
      <c r="E2" s="3" t="s">
        <v>107</v>
      </c>
      <c r="F2" s="79" t="s">
        <v>108</v>
      </c>
      <c r="G2" s="51" t="s">
        <v>108</v>
      </c>
      <c r="H2" s="52" t="s">
        <v>109</v>
      </c>
      <c r="I2" s="58">
        <v>17700000</v>
      </c>
      <c r="J2" s="59">
        <v>17600600</v>
      </c>
      <c r="K2" s="60">
        <v>19900000</v>
      </c>
      <c r="L2" s="60">
        <v>21700000</v>
      </c>
      <c r="M2" s="60">
        <v>23000000</v>
      </c>
      <c r="N2" s="61">
        <v>22100000</v>
      </c>
      <c r="O2" s="60">
        <v>19900000</v>
      </c>
      <c r="P2" s="58">
        <v>20700000</v>
      </c>
      <c r="Q2" s="58">
        <v>22086764</v>
      </c>
      <c r="R2" s="24">
        <v>23818651</v>
      </c>
      <c r="S2" s="24">
        <v>24500501</v>
      </c>
      <c r="T2" s="74">
        <v>22951888</v>
      </c>
      <c r="U2" s="24">
        <v>18746840</v>
      </c>
      <c r="V2" s="74">
        <f>SUM(J2:U2)</f>
        <v>257005244</v>
      </c>
      <c r="W2" s="308">
        <f>AVERAGE(J2:U2)</f>
        <v>21417103.666666668</v>
      </c>
    </row>
    <row r="3" spans="1:35" ht="13.8">
      <c r="A3" s="479"/>
      <c r="B3" s="483"/>
      <c r="C3" s="487"/>
      <c r="D3" s="489"/>
      <c r="E3" s="41" t="s">
        <v>110</v>
      </c>
      <c r="F3" s="80" t="s">
        <v>111</v>
      </c>
      <c r="G3" s="53"/>
      <c r="H3" s="6" t="s">
        <v>109</v>
      </c>
      <c r="I3" s="27"/>
      <c r="J3" s="39"/>
      <c r="K3" s="26"/>
      <c r="L3" s="26"/>
      <c r="M3" s="26"/>
      <c r="N3" s="44">
        <v>0.85409999999999997</v>
      </c>
      <c r="O3" s="69">
        <v>0.88200000000000001</v>
      </c>
      <c r="P3" s="68">
        <v>0.88529999999999998</v>
      </c>
      <c r="Q3" s="77">
        <v>0.85440000000000005</v>
      </c>
      <c r="R3" s="99">
        <v>0.83989999999999998</v>
      </c>
      <c r="S3" s="99">
        <v>0.82069999999999999</v>
      </c>
      <c r="T3" s="140" t="s">
        <v>112</v>
      </c>
      <c r="U3" s="15" t="s">
        <v>113</v>
      </c>
      <c r="V3" s="74" t="s">
        <v>114</v>
      </c>
      <c r="W3" s="289"/>
    </row>
    <row r="4" spans="1:35" ht="13.8">
      <c r="A4" s="480"/>
      <c r="B4" s="484"/>
      <c r="C4" s="484"/>
      <c r="D4" s="484"/>
      <c r="E4" s="42" t="s">
        <v>115</v>
      </c>
      <c r="F4" s="82" t="s">
        <v>116</v>
      </c>
      <c r="G4" s="54" t="s">
        <v>117</v>
      </c>
      <c r="H4" s="6" t="s">
        <v>109</v>
      </c>
      <c r="I4" s="6" t="s">
        <v>118</v>
      </c>
      <c r="J4" s="7" t="s">
        <v>119</v>
      </c>
      <c r="K4" s="8" t="s">
        <v>120</v>
      </c>
      <c r="L4" s="8" t="s">
        <v>121</v>
      </c>
      <c r="M4" s="8" t="s">
        <v>122</v>
      </c>
      <c r="N4" s="4" t="s">
        <v>123</v>
      </c>
      <c r="O4" s="8" t="s">
        <v>124</v>
      </c>
      <c r="P4" s="6" t="s">
        <v>125</v>
      </c>
      <c r="Q4" s="8" t="s">
        <v>126</v>
      </c>
      <c r="R4" s="6" t="s">
        <v>126</v>
      </c>
      <c r="S4" s="6" t="s">
        <v>127</v>
      </c>
      <c r="T4" s="8" t="s">
        <v>123</v>
      </c>
      <c r="U4" s="6" t="s">
        <v>118</v>
      </c>
      <c r="V4" s="74" t="s">
        <v>128</v>
      </c>
      <c r="W4" s="289"/>
    </row>
    <row r="5" spans="1:35" ht="13.8">
      <c r="A5" s="480"/>
      <c r="B5" s="484"/>
      <c r="C5" s="484"/>
      <c r="D5" s="484"/>
      <c r="E5" s="40" t="s">
        <v>129</v>
      </c>
      <c r="F5" s="82" t="s">
        <v>130</v>
      </c>
      <c r="G5" s="54" t="s">
        <v>117</v>
      </c>
      <c r="H5" s="6" t="s">
        <v>109</v>
      </c>
      <c r="I5" s="6" t="s">
        <v>131</v>
      </c>
      <c r="J5" s="7" t="s">
        <v>132</v>
      </c>
      <c r="K5" s="8" t="s">
        <v>118</v>
      </c>
      <c r="L5" s="8" t="s">
        <v>125</v>
      </c>
      <c r="M5" s="8" t="s">
        <v>133</v>
      </c>
      <c r="N5" s="4" t="s">
        <v>121</v>
      </c>
      <c r="O5" s="8" t="s">
        <v>134</v>
      </c>
      <c r="P5" s="6" t="s">
        <v>135</v>
      </c>
      <c r="Q5" s="8" t="s">
        <v>125</v>
      </c>
      <c r="R5" s="6" t="s">
        <v>124</v>
      </c>
      <c r="S5" s="6" t="s">
        <v>122</v>
      </c>
      <c r="T5" s="8" t="s">
        <v>121</v>
      </c>
      <c r="U5" s="6" t="s">
        <v>131</v>
      </c>
      <c r="V5" s="74" t="s">
        <v>136</v>
      </c>
      <c r="W5" s="289"/>
      <c r="Y5" s="132"/>
      <c r="Z5" s="65"/>
      <c r="AA5" s="65"/>
      <c r="AB5" s="65"/>
      <c r="AC5" s="133"/>
      <c r="AD5" s="65"/>
      <c r="AE5" s="65"/>
      <c r="AF5" s="65"/>
      <c r="AG5" s="65"/>
      <c r="AH5" s="65"/>
      <c r="AI5" s="65"/>
    </row>
    <row r="6" spans="1:35" ht="13.8">
      <c r="A6" s="480"/>
      <c r="B6" s="484"/>
      <c r="C6" s="484"/>
      <c r="D6" s="484"/>
      <c r="E6" s="42" t="s">
        <v>137</v>
      </c>
      <c r="F6" s="82" t="s">
        <v>138</v>
      </c>
      <c r="G6" s="54"/>
      <c r="H6" s="6" t="s">
        <v>109</v>
      </c>
      <c r="I6" s="6"/>
      <c r="J6" s="43">
        <v>6573701</v>
      </c>
      <c r="K6" s="43">
        <v>6006244</v>
      </c>
      <c r="L6" s="43">
        <v>8658925</v>
      </c>
      <c r="M6" s="43">
        <v>9168629</v>
      </c>
      <c r="N6" s="43">
        <v>8954859</v>
      </c>
      <c r="O6" s="70">
        <v>8925326</v>
      </c>
      <c r="P6" s="24">
        <v>8385568</v>
      </c>
      <c r="Q6" s="74">
        <v>8915586</v>
      </c>
      <c r="R6" s="24">
        <v>8949520</v>
      </c>
      <c r="S6" s="24">
        <v>9848209</v>
      </c>
      <c r="T6" s="74">
        <v>9196468</v>
      </c>
      <c r="U6" s="24">
        <v>7005542</v>
      </c>
      <c r="V6" s="74">
        <f t="shared" ref="V6:V13" si="0">SUM(J6:U6)</f>
        <v>100588577</v>
      </c>
      <c r="W6" s="308">
        <f>AVERAGE(J6:U6)</f>
        <v>8382381.416666667</v>
      </c>
    </row>
    <row r="7" spans="1:35" ht="13.8">
      <c r="A7" s="480"/>
      <c r="B7" s="484"/>
      <c r="C7" s="484"/>
      <c r="D7" s="484"/>
      <c r="E7" s="42" t="s">
        <v>139</v>
      </c>
      <c r="F7" s="82" t="s">
        <v>140</v>
      </c>
      <c r="G7" s="54"/>
      <c r="H7" s="6" t="s">
        <v>109</v>
      </c>
      <c r="I7" s="6"/>
      <c r="J7" s="7"/>
      <c r="K7" s="8"/>
      <c r="L7" s="8"/>
      <c r="M7" s="8"/>
      <c r="N7" s="45">
        <v>3.1944444444444446E-3</v>
      </c>
      <c r="O7" s="45">
        <v>2.8703703703703703E-3</v>
      </c>
      <c r="P7" s="46">
        <v>2.9513888888888888E-3</v>
      </c>
      <c r="Q7" s="45">
        <v>2.7777777777777779E-3</v>
      </c>
      <c r="R7" s="46">
        <v>3.0555555555555557E-3</v>
      </c>
      <c r="S7" s="46">
        <v>2.9166666666666668E-3</v>
      </c>
      <c r="T7" s="45">
        <v>2.9050925925925928E-3</v>
      </c>
      <c r="U7" s="46">
        <v>2.9745370370370373E-3</v>
      </c>
      <c r="V7" s="45">
        <v>2.9513888888888888E-3</v>
      </c>
      <c r="W7" s="289">
        <v>6196000</v>
      </c>
    </row>
    <row r="8" spans="1:35" ht="13.8">
      <c r="A8" s="480"/>
      <c r="B8" s="484"/>
      <c r="C8" s="484"/>
      <c r="D8" s="484"/>
      <c r="E8" s="42" t="s">
        <v>141</v>
      </c>
      <c r="F8" s="82" t="s">
        <v>142</v>
      </c>
      <c r="G8" s="54" t="s">
        <v>143</v>
      </c>
      <c r="H8" s="6" t="s">
        <v>109</v>
      </c>
      <c r="I8" s="9">
        <v>5.4599999999999996E-3</v>
      </c>
      <c r="J8" s="9">
        <v>6.45E-3</v>
      </c>
      <c r="K8" s="10">
        <v>8.8999999999999995E-4</v>
      </c>
      <c r="L8" s="10">
        <v>3.47E-3</v>
      </c>
      <c r="M8" s="11">
        <v>0</v>
      </c>
      <c r="N8" s="48">
        <v>0</v>
      </c>
      <c r="O8" s="71">
        <v>0</v>
      </c>
      <c r="P8" s="12">
        <v>0</v>
      </c>
      <c r="Q8" s="10">
        <v>2.0000000000000002E-5</v>
      </c>
      <c r="R8" s="9">
        <v>4.8500000000000001E-3</v>
      </c>
      <c r="S8" s="102">
        <v>2.7300000000000001E-2</v>
      </c>
      <c r="T8" s="141" t="s">
        <v>144</v>
      </c>
      <c r="U8" s="9" t="s">
        <v>145</v>
      </c>
      <c r="V8" s="74">
        <f t="shared" si="0"/>
        <v>4.2980000000000004E-2</v>
      </c>
      <c r="W8" s="289">
        <f>U6/W7</f>
        <v>1.1306555842479018</v>
      </c>
      <c r="AC8" s="129"/>
    </row>
    <row r="9" spans="1:35" ht="13.8">
      <c r="A9" s="480"/>
      <c r="B9" s="484"/>
      <c r="C9" s="484"/>
      <c r="D9" s="484"/>
      <c r="E9" s="40" t="s">
        <v>141</v>
      </c>
      <c r="F9" s="82" t="s">
        <v>146</v>
      </c>
      <c r="G9" s="54" t="s">
        <v>147</v>
      </c>
      <c r="H9" s="6" t="s">
        <v>109</v>
      </c>
      <c r="I9" s="13">
        <v>3.8449074074074073E-2</v>
      </c>
      <c r="J9" s="13">
        <v>9.0277777777777776E-2</v>
      </c>
      <c r="K9" s="81">
        <v>6.2268518518518515E-3</v>
      </c>
      <c r="L9" s="81">
        <v>6.2268518518518515E-3</v>
      </c>
      <c r="M9" s="14">
        <v>0</v>
      </c>
      <c r="N9" s="49">
        <v>0</v>
      </c>
      <c r="O9" s="72">
        <v>0</v>
      </c>
      <c r="P9" s="47">
        <v>0</v>
      </c>
      <c r="Q9" s="72">
        <v>6.9340277777777778E-2</v>
      </c>
      <c r="R9" s="86">
        <v>0.13589120370370369</v>
      </c>
      <c r="S9" s="101">
        <v>1.5592824074074074</v>
      </c>
      <c r="T9" s="142">
        <v>1.3877314814814815E-2</v>
      </c>
      <c r="U9" s="101">
        <v>2.0011574074074074E-2</v>
      </c>
      <c r="V9" s="142">
        <v>1.9395949074074075</v>
      </c>
      <c r="W9" s="311"/>
    </row>
    <row r="10" spans="1:35" ht="17.25" customHeight="1">
      <c r="A10" s="480"/>
      <c r="B10" s="484"/>
      <c r="C10" s="484"/>
      <c r="D10" s="484"/>
      <c r="E10" s="40" t="s">
        <v>148</v>
      </c>
      <c r="F10" s="82" t="s">
        <v>149</v>
      </c>
      <c r="G10" s="54" t="s">
        <v>150</v>
      </c>
      <c r="H10" s="6" t="s">
        <v>109</v>
      </c>
      <c r="I10" s="15">
        <v>0.4647</v>
      </c>
      <c r="J10" s="15">
        <v>0.33710000000000001</v>
      </c>
      <c r="K10" s="16">
        <v>0.37690000000000001</v>
      </c>
      <c r="L10" s="17" t="s">
        <v>151</v>
      </c>
      <c r="M10" s="17" t="s">
        <v>152</v>
      </c>
      <c r="N10" s="50">
        <v>0.47299999999999998</v>
      </c>
      <c r="O10" s="17" t="s">
        <v>153</v>
      </c>
      <c r="P10" s="15">
        <v>0.4637</v>
      </c>
      <c r="Q10" s="16" t="s">
        <v>154</v>
      </c>
      <c r="R10" s="15" t="s">
        <v>155</v>
      </c>
      <c r="S10" s="103" t="s">
        <v>156</v>
      </c>
      <c r="T10" s="143" t="s">
        <v>157</v>
      </c>
      <c r="U10" s="15" t="s">
        <v>158</v>
      </c>
      <c r="V10" s="16" t="s">
        <v>159</v>
      </c>
      <c r="W10" s="289"/>
      <c r="X10" s="133"/>
      <c r="Y10" s="133"/>
      <c r="Z10" s="133"/>
      <c r="AA10" s="133"/>
      <c r="AB10" s="133"/>
      <c r="AC10" s="65"/>
      <c r="AD10" s="65"/>
      <c r="AE10" s="65"/>
      <c r="AF10" s="65"/>
      <c r="AG10" s="65"/>
      <c r="AH10" s="65"/>
      <c r="AI10" s="130"/>
    </row>
    <row r="11" spans="1:35" ht="18" customHeight="1">
      <c r="A11" s="480"/>
      <c r="B11" s="484"/>
      <c r="C11" s="484"/>
      <c r="D11" s="484"/>
      <c r="E11" s="40" t="s">
        <v>160</v>
      </c>
      <c r="F11" s="82" t="s">
        <v>161</v>
      </c>
      <c r="G11" s="54" t="s">
        <v>150</v>
      </c>
      <c r="H11" s="6" t="s">
        <v>109</v>
      </c>
      <c r="I11" s="15">
        <v>0.89539999999999997</v>
      </c>
      <c r="J11" s="15">
        <v>0.89259999999999995</v>
      </c>
      <c r="K11" s="16">
        <v>0.89490000000000003</v>
      </c>
      <c r="L11" s="17" t="s">
        <v>162</v>
      </c>
      <c r="M11" s="17" t="s">
        <v>163</v>
      </c>
      <c r="N11" s="18">
        <v>0.89200000000000002</v>
      </c>
      <c r="O11" s="73" t="s">
        <v>164</v>
      </c>
      <c r="P11" s="15">
        <v>0.89900000000000002</v>
      </c>
      <c r="Q11" s="16">
        <v>0.86919999999999997</v>
      </c>
      <c r="R11" s="15">
        <v>0.85619999999999996</v>
      </c>
      <c r="S11" s="15">
        <v>0.84379999999999999</v>
      </c>
      <c r="T11" s="16" t="s">
        <v>165</v>
      </c>
      <c r="U11" s="15" t="s">
        <v>166</v>
      </c>
      <c r="V11" s="16" t="s">
        <v>167</v>
      </c>
      <c r="W11" s="289"/>
    </row>
    <row r="12" spans="1:35" ht="13.8">
      <c r="A12" s="480"/>
      <c r="B12" s="484"/>
      <c r="C12" s="484"/>
      <c r="D12" s="484"/>
      <c r="E12" s="40" t="s">
        <v>168</v>
      </c>
      <c r="F12" s="82" t="s">
        <v>169</v>
      </c>
      <c r="G12" s="54" t="s">
        <v>117</v>
      </c>
      <c r="H12" s="6" t="s">
        <v>109</v>
      </c>
      <c r="I12" s="6" t="s">
        <v>170</v>
      </c>
      <c r="J12" s="6" t="s">
        <v>171</v>
      </c>
      <c r="K12" s="8" t="s">
        <v>172</v>
      </c>
      <c r="L12" s="8" t="s">
        <v>173</v>
      </c>
      <c r="M12" s="8" t="s">
        <v>174</v>
      </c>
      <c r="N12" s="4" t="s">
        <v>175</v>
      </c>
      <c r="O12" s="8" t="s">
        <v>176</v>
      </c>
      <c r="P12" s="6" t="s">
        <v>177</v>
      </c>
      <c r="Q12" s="8" t="s">
        <v>178</v>
      </c>
      <c r="R12" s="6" t="s">
        <v>179</v>
      </c>
      <c r="S12" s="6" t="s">
        <v>180</v>
      </c>
      <c r="T12" s="8" t="s">
        <v>181</v>
      </c>
      <c r="U12" s="6" t="s">
        <v>182</v>
      </c>
      <c r="V12" s="74" t="s">
        <v>120</v>
      </c>
      <c r="W12" s="289"/>
      <c r="Y12" s="129"/>
    </row>
    <row r="13" spans="1:35" ht="13.8">
      <c r="A13" s="480"/>
      <c r="B13" s="484"/>
      <c r="C13" s="484"/>
      <c r="D13" s="484"/>
      <c r="E13" s="19" t="s">
        <v>183</v>
      </c>
      <c r="F13" s="82" t="s">
        <v>184</v>
      </c>
      <c r="G13" s="54" t="s">
        <v>185</v>
      </c>
      <c r="H13" s="6" t="s">
        <v>109</v>
      </c>
      <c r="I13" s="6">
        <v>62</v>
      </c>
      <c r="J13" s="6">
        <v>6</v>
      </c>
      <c r="K13" s="8">
        <v>2</v>
      </c>
      <c r="L13" s="8">
        <v>1</v>
      </c>
      <c r="M13" s="8">
        <v>3</v>
      </c>
      <c r="N13" s="6">
        <v>5</v>
      </c>
      <c r="O13" s="8">
        <v>2</v>
      </c>
      <c r="P13" s="6">
        <v>1</v>
      </c>
      <c r="Q13" s="8"/>
      <c r="R13" s="6"/>
      <c r="S13" s="6"/>
      <c r="T13" s="8"/>
      <c r="U13" s="6"/>
      <c r="V13" s="74">
        <f t="shared" si="0"/>
        <v>20</v>
      </c>
      <c r="W13" s="289"/>
    </row>
    <row r="14" spans="1:35" ht="145.5" customHeight="1">
      <c r="A14" s="480"/>
      <c r="B14" s="484"/>
      <c r="C14" s="484"/>
      <c r="D14" s="484"/>
      <c r="E14" s="42" t="s">
        <v>186</v>
      </c>
      <c r="F14" s="82" t="s">
        <v>187</v>
      </c>
      <c r="G14" s="54" t="s">
        <v>188</v>
      </c>
      <c r="H14" s="6" t="s">
        <v>109</v>
      </c>
      <c r="I14" s="90"/>
      <c r="J14" s="90"/>
      <c r="K14" s="91"/>
      <c r="L14" s="91"/>
      <c r="M14" s="91"/>
      <c r="N14" s="90"/>
      <c r="O14" s="91"/>
      <c r="P14" s="90"/>
      <c r="Q14" s="94"/>
      <c r="R14" s="100"/>
      <c r="S14" s="100"/>
      <c r="T14" s="94"/>
      <c r="U14" s="194"/>
      <c r="V14" s="74"/>
      <c r="W14" s="289"/>
      <c r="X14" s="131"/>
    </row>
    <row r="15" spans="1:35" ht="13.8">
      <c r="A15" s="480"/>
      <c r="B15" s="484"/>
      <c r="C15" s="484"/>
      <c r="D15" s="484"/>
      <c r="E15" s="20" t="s">
        <v>189</v>
      </c>
      <c r="F15" s="82" t="s">
        <v>190</v>
      </c>
      <c r="G15" s="54" t="s">
        <v>190</v>
      </c>
      <c r="H15" s="6" t="s">
        <v>109</v>
      </c>
      <c r="I15" s="6">
        <v>12</v>
      </c>
      <c r="J15" s="6"/>
      <c r="K15" s="8"/>
      <c r="L15" s="8"/>
      <c r="M15" s="8"/>
      <c r="N15" s="6"/>
      <c r="O15" s="8"/>
      <c r="P15" s="6"/>
      <c r="Q15" s="8"/>
      <c r="R15" s="29"/>
      <c r="S15" s="29"/>
      <c r="T15" s="130"/>
      <c r="U15" s="6"/>
      <c r="V15" s="8"/>
      <c r="W15" s="289"/>
    </row>
    <row r="16" spans="1:35" ht="13.8">
      <c r="A16" s="481"/>
      <c r="B16" s="485"/>
      <c r="C16" s="485"/>
      <c r="D16" s="485"/>
      <c r="E16" s="21" t="s">
        <v>191</v>
      </c>
      <c r="F16" s="83" t="s">
        <v>192</v>
      </c>
      <c r="G16" s="55" t="s">
        <v>192</v>
      </c>
      <c r="H16" s="56" t="s">
        <v>109</v>
      </c>
      <c r="I16" s="56">
        <v>24</v>
      </c>
      <c r="J16" s="56"/>
      <c r="K16" s="57"/>
      <c r="L16" s="57"/>
      <c r="M16" s="57"/>
      <c r="N16" s="56"/>
      <c r="O16" s="57"/>
      <c r="P16" s="57"/>
      <c r="Q16" s="57"/>
      <c r="R16" s="95"/>
      <c r="S16" s="95"/>
      <c r="T16" s="144"/>
      <c r="U16" s="6"/>
      <c r="V16" s="8"/>
      <c r="W16" s="289"/>
      <c r="Y16" s="130"/>
      <c r="Z16" s="65"/>
      <c r="AA16" s="65"/>
      <c r="AB16" s="65"/>
      <c r="AC16" s="65"/>
      <c r="AD16" s="65"/>
      <c r="AE16" s="65"/>
      <c r="AF16" s="65"/>
      <c r="AG16" s="65"/>
      <c r="AH16" s="65"/>
      <c r="AI16" s="65"/>
    </row>
    <row r="17" spans="1:34" ht="13.8">
      <c r="A17" s="495" t="s">
        <v>193</v>
      </c>
      <c r="B17" s="490"/>
      <c r="C17" s="493" t="s">
        <v>105</v>
      </c>
      <c r="D17" s="494" t="s">
        <v>106</v>
      </c>
      <c r="E17" s="92" t="s">
        <v>1</v>
      </c>
      <c r="F17" s="22" t="s">
        <v>194</v>
      </c>
      <c r="G17" s="22" t="s">
        <v>195</v>
      </c>
      <c r="H17" s="23" t="s">
        <v>109</v>
      </c>
      <c r="I17" s="64">
        <v>1447951</v>
      </c>
      <c r="J17" s="64">
        <v>1803048</v>
      </c>
      <c r="K17" s="65">
        <v>1782890</v>
      </c>
      <c r="L17" s="66">
        <v>1780879</v>
      </c>
      <c r="M17" s="66">
        <v>1995835</v>
      </c>
      <c r="N17" s="67">
        <v>1900492</v>
      </c>
      <c r="O17" s="66">
        <v>1751193</v>
      </c>
      <c r="P17" s="84">
        <v>2047202</v>
      </c>
      <c r="Q17" s="85">
        <v>2152856</v>
      </c>
      <c r="R17" s="96">
        <v>2430359</v>
      </c>
      <c r="S17" s="96">
        <v>2477712</v>
      </c>
      <c r="T17" s="145">
        <v>2109467</v>
      </c>
      <c r="U17" s="24">
        <v>1952941</v>
      </c>
      <c r="V17" s="74">
        <v>24158910</v>
      </c>
      <c r="W17" s="308">
        <f>AVERAGE(J17:U17)</f>
        <v>2015406.1666666667</v>
      </c>
    </row>
    <row r="18" spans="1:34" ht="13.8">
      <c r="A18" s="496"/>
      <c r="B18" s="491"/>
      <c r="C18" s="491"/>
      <c r="D18" s="491"/>
      <c r="E18" s="92" t="s">
        <v>2</v>
      </c>
      <c r="F18" s="22" t="s">
        <v>196</v>
      </c>
      <c r="G18" s="22" t="s">
        <v>197</v>
      </c>
      <c r="H18" s="25" t="s">
        <v>109</v>
      </c>
      <c r="I18" s="6">
        <v>679.93399999999997</v>
      </c>
      <c r="J18" s="24">
        <v>801980</v>
      </c>
      <c r="K18" s="24">
        <v>872104</v>
      </c>
      <c r="L18" s="24">
        <v>789868</v>
      </c>
      <c r="M18" s="24">
        <v>862119</v>
      </c>
      <c r="N18" s="24">
        <v>815093</v>
      </c>
      <c r="O18" s="74">
        <v>743231</v>
      </c>
      <c r="P18" s="24">
        <v>882779</v>
      </c>
      <c r="Q18" s="74">
        <v>894955</v>
      </c>
      <c r="R18" s="96">
        <v>1088881</v>
      </c>
      <c r="S18" s="96">
        <v>1094525</v>
      </c>
      <c r="T18" s="145">
        <v>989742</v>
      </c>
      <c r="U18" s="24">
        <v>896094</v>
      </c>
      <c r="V18" s="74">
        <v>5085986</v>
      </c>
      <c r="W18" s="308">
        <f>AVERAGE(J18:U18)</f>
        <v>894280.91666666663</v>
      </c>
    </row>
    <row r="19" spans="1:34" ht="13.8">
      <c r="A19" s="496"/>
      <c r="B19" s="491"/>
      <c r="C19" s="491"/>
      <c r="D19" s="491"/>
      <c r="E19" s="92" t="s">
        <v>141</v>
      </c>
      <c r="F19" s="22" t="s">
        <v>198</v>
      </c>
      <c r="G19" s="22" t="s">
        <v>199</v>
      </c>
      <c r="H19" s="25" t="s">
        <v>109</v>
      </c>
      <c r="I19" s="88">
        <v>1</v>
      </c>
      <c r="J19" s="88">
        <v>1</v>
      </c>
      <c r="K19" s="88">
        <v>1</v>
      </c>
      <c r="L19" s="88">
        <v>0.99560000000000004</v>
      </c>
      <c r="M19" s="88">
        <v>0.99199999999999999</v>
      </c>
      <c r="N19" s="88">
        <v>1</v>
      </c>
      <c r="O19" s="89">
        <v>1</v>
      </c>
      <c r="P19" s="88">
        <v>1</v>
      </c>
      <c r="Q19" s="89">
        <v>1</v>
      </c>
      <c r="R19" s="97">
        <v>1</v>
      </c>
      <c r="S19" s="97">
        <v>1</v>
      </c>
      <c r="T19" s="146">
        <v>1</v>
      </c>
      <c r="U19" s="137" t="s">
        <v>200</v>
      </c>
      <c r="V19" s="368"/>
      <c r="W19" s="289"/>
      <c r="X19" s="65"/>
      <c r="Y19" s="65"/>
      <c r="Z19" s="65"/>
      <c r="AA19" s="65"/>
      <c r="AB19" s="65"/>
      <c r="AC19" s="65"/>
      <c r="AD19" s="65"/>
      <c r="AE19" s="65"/>
      <c r="AF19" s="65"/>
      <c r="AG19" s="65"/>
      <c r="AH19" s="65"/>
    </row>
    <row r="20" spans="1:34" ht="13.8">
      <c r="A20" s="496"/>
      <c r="B20" s="491"/>
      <c r="C20" s="491"/>
      <c r="D20" s="491"/>
      <c r="E20" s="22" t="s">
        <v>201</v>
      </c>
      <c r="F20" s="22" t="s">
        <v>202</v>
      </c>
      <c r="G20" s="22" t="s">
        <v>203</v>
      </c>
      <c r="H20" s="25" t="s">
        <v>204</v>
      </c>
      <c r="I20" s="6">
        <v>120</v>
      </c>
      <c r="J20" s="6">
        <v>121</v>
      </c>
      <c r="K20" s="6">
        <v>121</v>
      </c>
      <c r="L20" s="6">
        <v>122</v>
      </c>
      <c r="M20" s="6">
        <v>126</v>
      </c>
      <c r="N20" s="6">
        <v>127</v>
      </c>
      <c r="O20" s="8">
        <v>128</v>
      </c>
      <c r="P20" s="6">
        <v>130</v>
      </c>
      <c r="Q20" s="8">
        <v>132</v>
      </c>
      <c r="R20" s="98">
        <v>133</v>
      </c>
      <c r="S20" s="87">
        <v>136</v>
      </c>
      <c r="T20" s="147">
        <v>137</v>
      </c>
      <c r="U20" s="138">
        <v>139</v>
      </c>
      <c r="V20" s="369"/>
      <c r="W20" s="289"/>
    </row>
    <row r="21" spans="1:34" ht="13.8">
      <c r="A21" s="496"/>
      <c r="B21" s="491"/>
      <c r="C21" s="491"/>
      <c r="D21" s="491"/>
      <c r="E21" s="22" t="s">
        <v>205</v>
      </c>
      <c r="F21" s="22" t="s">
        <v>206</v>
      </c>
      <c r="G21" s="22" t="s">
        <v>207</v>
      </c>
      <c r="H21" s="25" t="s">
        <v>204</v>
      </c>
      <c r="I21" s="6">
        <v>49</v>
      </c>
      <c r="J21" s="63">
        <v>49</v>
      </c>
      <c r="K21" s="6">
        <v>49</v>
      </c>
      <c r="L21" s="6">
        <v>50</v>
      </c>
      <c r="M21" s="6">
        <v>54</v>
      </c>
      <c r="N21" s="6">
        <v>55</v>
      </c>
      <c r="O21" s="8">
        <v>56</v>
      </c>
      <c r="P21" s="6">
        <v>58</v>
      </c>
      <c r="Q21" s="8">
        <v>60</v>
      </c>
      <c r="R21" s="98">
        <v>61</v>
      </c>
      <c r="S21" s="87">
        <v>63</v>
      </c>
      <c r="T21" s="147">
        <v>64</v>
      </c>
      <c r="U21" s="138">
        <v>66</v>
      </c>
      <c r="V21" s="369"/>
      <c r="W21" s="289"/>
      <c r="Y21" s="129"/>
    </row>
    <row r="22" spans="1:34" ht="13.8">
      <c r="A22" s="496"/>
      <c r="B22" s="491"/>
      <c r="C22" s="491"/>
      <c r="D22" s="491"/>
      <c r="E22" s="22" t="s">
        <v>208</v>
      </c>
      <c r="F22" s="22" t="s">
        <v>209</v>
      </c>
      <c r="G22" s="22" t="s">
        <v>210</v>
      </c>
      <c r="H22" s="25" t="s">
        <v>204</v>
      </c>
      <c r="I22" s="6">
        <v>500</v>
      </c>
      <c r="J22" s="6">
        <v>545</v>
      </c>
      <c r="K22" s="6">
        <v>575</v>
      </c>
      <c r="L22" s="6">
        <v>626</v>
      </c>
      <c r="M22" s="6">
        <v>650</v>
      </c>
      <c r="N22" s="6">
        <v>688</v>
      </c>
      <c r="O22" s="8">
        <v>727</v>
      </c>
      <c r="P22" s="6">
        <v>774</v>
      </c>
      <c r="Q22" s="8">
        <v>864</v>
      </c>
      <c r="R22" s="98">
        <v>906</v>
      </c>
      <c r="S22" s="98">
        <v>940</v>
      </c>
      <c r="T22" s="147">
        <v>992</v>
      </c>
      <c r="U22" s="138">
        <v>1005</v>
      </c>
      <c r="V22" s="369"/>
      <c r="W22" s="289"/>
    </row>
    <row r="23" spans="1:34" ht="173.25" customHeight="1">
      <c r="A23" s="496"/>
      <c r="B23" s="491"/>
      <c r="C23" s="491"/>
      <c r="D23" s="491"/>
      <c r="E23" s="93" t="s">
        <v>211</v>
      </c>
      <c r="F23" s="22" t="s">
        <v>212</v>
      </c>
      <c r="G23" s="22" t="s">
        <v>213</v>
      </c>
      <c r="H23" s="25" t="s">
        <v>109</v>
      </c>
      <c r="I23" s="90"/>
      <c r="J23" s="90"/>
      <c r="K23" s="90"/>
      <c r="L23" s="90"/>
      <c r="M23" s="90"/>
      <c r="N23" s="90"/>
      <c r="O23" s="91"/>
      <c r="P23" s="90"/>
      <c r="Q23" s="91"/>
      <c r="R23" s="106" t="s">
        <v>214</v>
      </c>
      <c r="S23" s="105" t="s">
        <v>215</v>
      </c>
      <c r="T23" s="148" t="s">
        <v>216</v>
      </c>
      <c r="U23" s="177" t="s">
        <v>217</v>
      </c>
      <c r="V23" s="370" t="s">
        <v>218</v>
      </c>
      <c r="W23" s="289"/>
    </row>
    <row r="24" spans="1:34" ht="18" customHeight="1">
      <c r="A24" s="496"/>
      <c r="B24" s="491"/>
      <c r="C24" s="491"/>
      <c r="D24" s="491"/>
      <c r="E24" s="22" t="s">
        <v>219</v>
      </c>
      <c r="F24" s="22" t="s">
        <v>220</v>
      </c>
      <c r="G24" s="22" t="s">
        <v>220</v>
      </c>
      <c r="H24" s="25" t="s">
        <v>109</v>
      </c>
      <c r="I24" s="90"/>
      <c r="J24" s="90"/>
      <c r="K24" s="90"/>
      <c r="L24" s="90"/>
      <c r="M24" s="90"/>
      <c r="N24" s="90"/>
      <c r="O24" s="91"/>
      <c r="P24" s="90"/>
      <c r="Q24" s="90"/>
      <c r="R24" s="90"/>
      <c r="S24" s="105" t="s">
        <v>221</v>
      </c>
      <c r="T24" s="148" t="s">
        <v>221</v>
      </c>
      <c r="U24" s="220" t="s">
        <v>221</v>
      </c>
      <c r="V24" s="220"/>
      <c r="W24" s="289"/>
    </row>
    <row r="25" spans="1:34" ht="18" customHeight="1">
      <c r="A25" s="496"/>
      <c r="B25" s="491"/>
      <c r="C25" s="491"/>
      <c r="D25" s="491"/>
      <c r="E25" s="93" t="s">
        <v>222</v>
      </c>
      <c r="F25" s="22" t="s">
        <v>223</v>
      </c>
      <c r="G25" s="22" t="s">
        <v>224</v>
      </c>
      <c r="H25" s="25" t="s">
        <v>109</v>
      </c>
      <c r="I25" s="90"/>
      <c r="J25" s="90"/>
      <c r="K25" s="90"/>
      <c r="L25" s="90"/>
      <c r="M25" s="90"/>
      <c r="N25" s="90"/>
      <c r="O25" s="91"/>
      <c r="P25" s="90"/>
      <c r="Q25" s="90"/>
      <c r="R25" s="104"/>
      <c r="S25" s="105" t="s">
        <v>225</v>
      </c>
      <c r="T25" s="148" t="s">
        <v>226</v>
      </c>
      <c r="U25" s="148" t="s">
        <v>227</v>
      </c>
      <c r="V25" s="220"/>
      <c r="W25" s="289"/>
    </row>
    <row r="26" spans="1:34" ht="13.8">
      <c r="A26" s="496"/>
      <c r="B26" s="491"/>
      <c r="C26" s="491"/>
      <c r="D26" s="491"/>
      <c r="E26" s="22" t="s">
        <v>228</v>
      </c>
      <c r="F26" s="22" t="s">
        <v>229</v>
      </c>
      <c r="G26" s="22" t="s">
        <v>230</v>
      </c>
      <c r="H26" s="25" t="s">
        <v>204</v>
      </c>
      <c r="I26" s="6">
        <v>18</v>
      </c>
      <c r="J26" s="6">
        <v>18</v>
      </c>
      <c r="K26" s="6">
        <v>18</v>
      </c>
      <c r="L26" s="6">
        <v>18</v>
      </c>
      <c r="M26" s="6">
        <v>19</v>
      </c>
      <c r="N26" s="6">
        <v>20</v>
      </c>
      <c r="O26" s="8">
        <v>20</v>
      </c>
      <c r="P26" s="6">
        <v>20</v>
      </c>
      <c r="Q26" s="6">
        <v>20</v>
      </c>
      <c r="R26" s="23">
        <v>20</v>
      </c>
      <c r="S26" s="23">
        <v>20</v>
      </c>
      <c r="T26" s="25">
        <v>20</v>
      </c>
      <c r="U26" s="6">
        <v>20</v>
      </c>
      <c r="V26" s="26"/>
      <c r="W26" s="289"/>
    </row>
    <row r="27" spans="1:34" ht="13.8">
      <c r="A27" s="497"/>
      <c r="B27" s="492"/>
      <c r="C27" s="492"/>
      <c r="D27" s="492"/>
      <c r="E27" s="231" t="s">
        <v>231</v>
      </c>
      <c r="F27" s="232" t="s">
        <v>232</v>
      </c>
      <c r="G27" s="110" t="s">
        <v>233</v>
      </c>
      <c r="H27" s="233" t="s">
        <v>204</v>
      </c>
      <c r="I27" s="56">
        <v>40</v>
      </c>
      <c r="J27" s="56">
        <v>50</v>
      </c>
      <c r="K27" s="56">
        <v>55</v>
      </c>
      <c r="L27" s="56">
        <v>62</v>
      </c>
      <c r="M27" s="56">
        <v>62</v>
      </c>
      <c r="N27" s="56">
        <v>64</v>
      </c>
      <c r="O27" s="57">
        <v>64</v>
      </c>
      <c r="P27" s="56">
        <v>64</v>
      </c>
      <c r="Q27" s="56">
        <v>64</v>
      </c>
      <c r="R27" s="234">
        <v>65</v>
      </c>
      <c r="S27" s="234">
        <v>67</v>
      </c>
      <c r="T27" s="233">
        <v>67</v>
      </c>
      <c r="U27" s="56">
        <v>67</v>
      </c>
      <c r="V27" s="57"/>
      <c r="W27" s="289"/>
    </row>
    <row r="28" spans="1:34" ht="13.8">
      <c r="A28" s="134"/>
      <c r="B28" s="135"/>
      <c r="C28" s="135"/>
      <c r="D28" s="135"/>
      <c r="E28" s="235" t="s">
        <v>234</v>
      </c>
      <c r="F28" s="22" t="s">
        <v>235</v>
      </c>
      <c r="G28" s="116" t="s">
        <v>236</v>
      </c>
      <c r="H28" s="26" t="s">
        <v>109</v>
      </c>
      <c r="I28" s="236"/>
      <c r="J28" s="236"/>
      <c r="K28" s="236"/>
      <c r="L28" s="236"/>
      <c r="M28" s="236"/>
      <c r="N28" s="236"/>
      <c r="O28" s="236"/>
      <c r="P28" s="236"/>
      <c r="Q28" s="236"/>
      <c r="R28" s="236"/>
      <c r="S28" s="236"/>
      <c r="T28" s="236"/>
      <c r="U28" s="84">
        <v>1736288</v>
      </c>
      <c r="V28" s="85">
        <v>20523611</v>
      </c>
      <c r="W28" s="289"/>
    </row>
    <row r="29" spans="1:34" ht="13.8">
      <c r="A29" s="134"/>
      <c r="B29" s="135"/>
      <c r="C29" s="135"/>
      <c r="D29" s="135"/>
      <c r="E29" s="93" t="s">
        <v>237</v>
      </c>
      <c r="F29" s="109" t="s">
        <v>238</v>
      </c>
      <c r="G29" s="5" t="s">
        <v>239</v>
      </c>
      <c r="H29" s="8" t="s">
        <v>109</v>
      </c>
      <c r="I29" s="168"/>
      <c r="J29" s="168"/>
      <c r="K29" s="168"/>
      <c r="L29" s="168"/>
      <c r="M29" s="168"/>
      <c r="N29" s="168"/>
      <c r="O29" s="168"/>
      <c r="P29" s="168"/>
      <c r="Q29" s="168"/>
      <c r="R29" s="168"/>
      <c r="S29" s="168"/>
      <c r="T29" s="168"/>
      <c r="U29" s="24">
        <v>1276393</v>
      </c>
      <c r="V29" s="371"/>
      <c r="W29" s="289"/>
    </row>
    <row r="30" spans="1:34" ht="13.8">
      <c r="A30" s="134"/>
      <c r="B30" s="135"/>
      <c r="C30" s="135"/>
      <c r="D30" s="135"/>
      <c r="E30" s="93" t="s">
        <v>240</v>
      </c>
      <c r="F30" s="204" t="s">
        <v>241</v>
      </c>
      <c r="G30" s="108" t="s">
        <v>242</v>
      </c>
      <c r="H30" s="8" t="s">
        <v>109</v>
      </c>
      <c r="I30" s="168"/>
      <c r="J30" s="168"/>
      <c r="K30" s="168"/>
      <c r="L30" s="168"/>
      <c r="M30" s="168"/>
      <c r="N30" s="168"/>
      <c r="O30" s="168"/>
      <c r="P30" s="168"/>
      <c r="Q30" s="168"/>
      <c r="R30" s="168"/>
      <c r="S30" s="168"/>
      <c r="T30" s="168"/>
      <c r="U30" s="24">
        <v>1247714</v>
      </c>
      <c r="V30" s="371"/>
      <c r="W30" s="289"/>
    </row>
    <row r="31" spans="1:34" ht="27">
      <c r="A31" s="475" t="s">
        <v>243</v>
      </c>
      <c r="B31" s="30"/>
      <c r="C31" s="31" t="s">
        <v>105</v>
      </c>
      <c r="D31" s="32" t="s">
        <v>106</v>
      </c>
      <c r="E31" s="93" t="s">
        <v>244</v>
      </c>
      <c r="F31" s="108" t="s">
        <v>245</v>
      </c>
      <c r="G31" s="108" t="s">
        <v>246</v>
      </c>
      <c r="H31" s="8" t="s">
        <v>109</v>
      </c>
      <c r="I31" s="164">
        <v>9.3799999999999994E-2</v>
      </c>
      <c r="J31" s="164">
        <v>6.54E-2</v>
      </c>
      <c r="K31" s="165" t="s">
        <v>247</v>
      </c>
      <c r="L31" s="165" t="s">
        <v>248</v>
      </c>
      <c r="M31" s="164">
        <v>7.8E-2</v>
      </c>
      <c r="N31" s="164">
        <v>7.5999999999999998E-2</v>
      </c>
      <c r="O31" s="166">
        <v>7.8E-2</v>
      </c>
      <c r="P31" s="164">
        <v>7.6999999999999999E-2</v>
      </c>
      <c r="Q31" s="164">
        <v>8.1000000000000003E-2</v>
      </c>
      <c r="R31" s="76">
        <v>7.6700000000000004E-2</v>
      </c>
      <c r="S31" s="149">
        <v>7.3999999999999996E-2</v>
      </c>
      <c r="T31" s="167">
        <v>6.9000000000000006E-2</v>
      </c>
      <c r="U31" s="124">
        <v>0.05</v>
      </c>
      <c r="V31" s="363"/>
      <c r="W31" s="289"/>
    </row>
    <row r="32" spans="1:34" ht="13.8">
      <c r="A32" s="476"/>
      <c r="B32" s="30"/>
      <c r="C32" s="31"/>
      <c r="D32" s="32"/>
      <c r="E32" s="42" t="s">
        <v>249</v>
      </c>
      <c r="F32" s="5" t="s">
        <v>250</v>
      </c>
      <c r="G32" s="5" t="s">
        <v>251</v>
      </c>
      <c r="H32" s="107" t="s">
        <v>109</v>
      </c>
      <c r="I32" s="33">
        <v>0.39710000000000001</v>
      </c>
      <c r="J32" s="33">
        <v>0.39679999999999999</v>
      </c>
      <c r="K32" s="33">
        <v>0.31730000000000003</v>
      </c>
      <c r="L32" s="33">
        <v>0.35389999999999999</v>
      </c>
      <c r="M32" s="33">
        <v>0.34610000000000002</v>
      </c>
      <c r="N32" s="33">
        <v>0.3448</v>
      </c>
      <c r="O32" s="75">
        <v>0.38379999999999997</v>
      </c>
      <c r="P32" s="33">
        <v>0.37369999999999998</v>
      </c>
      <c r="Q32" s="33">
        <v>0.37980000000000003</v>
      </c>
      <c r="R32" s="76">
        <v>0.31769999999999998</v>
      </c>
      <c r="S32" s="76" t="s">
        <v>252</v>
      </c>
      <c r="T32" s="149">
        <v>0.34639999999999999</v>
      </c>
      <c r="U32" s="498" t="s">
        <v>253</v>
      </c>
      <c r="V32" s="372"/>
      <c r="W32" s="289"/>
    </row>
    <row r="33" spans="1:23" ht="13.8">
      <c r="A33" s="476"/>
      <c r="B33" s="30"/>
      <c r="C33" s="31"/>
      <c r="D33" s="32"/>
      <c r="E33" s="115" t="s">
        <v>254</v>
      </c>
      <c r="F33" s="110" t="s">
        <v>255</v>
      </c>
      <c r="G33" s="110" t="s">
        <v>256</v>
      </c>
      <c r="H33" s="117" t="s">
        <v>109</v>
      </c>
      <c r="I33" s="111" t="s">
        <v>257</v>
      </c>
      <c r="J33" s="112">
        <v>0.75260000000000005</v>
      </c>
      <c r="K33" s="113">
        <v>0.71319999999999995</v>
      </c>
      <c r="L33" s="113">
        <v>0.72940000000000005</v>
      </c>
      <c r="M33" s="114">
        <v>72.569999999999993</v>
      </c>
      <c r="N33" s="112">
        <v>0.72629999999999995</v>
      </c>
      <c r="O33" s="113">
        <v>0.74139999999999995</v>
      </c>
      <c r="P33" s="112">
        <v>0.74019999999999997</v>
      </c>
      <c r="Q33" s="112">
        <v>0.74299999999999999</v>
      </c>
      <c r="R33" s="78">
        <v>0.71079999999999999</v>
      </c>
      <c r="S33" s="78">
        <v>0.7046</v>
      </c>
      <c r="T33" s="150">
        <v>0.7278</v>
      </c>
      <c r="U33" s="499"/>
      <c r="V33" s="373"/>
      <c r="W33" s="289"/>
    </row>
    <row r="34" spans="1:23" ht="13.8">
      <c r="A34" s="476"/>
      <c r="B34" s="30"/>
      <c r="C34" s="31"/>
      <c r="D34" s="32"/>
      <c r="E34" s="93" t="s">
        <v>258</v>
      </c>
      <c r="F34" s="109" t="s">
        <v>259</v>
      </c>
      <c r="G34" s="5" t="s">
        <v>260</v>
      </c>
      <c r="H34" s="107" t="s">
        <v>109</v>
      </c>
      <c r="I34" s="118"/>
      <c r="J34" s="118"/>
      <c r="K34" s="118"/>
      <c r="L34" s="118"/>
      <c r="M34" s="118"/>
      <c r="N34" s="118"/>
      <c r="O34" s="119"/>
      <c r="P34" s="118"/>
      <c r="Q34" s="118"/>
      <c r="R34" s="120"/>
      <c r="S34" s="120"/>
      <c r="T34" s="136">
        <v>0.53</v>
      </c>
      <c r="U34" s="139">
        <v>0.71499999999999997</v>
      </c>
      <c r="V34" s="498"/>
      <c r="W34" s="289"/>
    </row>
    <row r="35" spans="1:23" ht="14.4">
      <c r="A35" s="476"/>
      <c r="B35" s="30"/>
      <c r="C35" s="31"/>
      <c r="D35" s="32"/>
      <c r="E35" s="93" t="s">
        <v>261</v>
      </c>
      <c r="F35" s="109" t="s">
        <v>262</v>
      </c>
      <c r="G35" s="5" t="s">
        <v>263</v>
      </c>
      <c r="H35" s="107" t="s">
        <v>109</v>
      </c>
      <c r="I35" s="118"/>
      <c r="J35" s="118"/>
      <c r="K35" s="118"/>
      <c r="L35" s="118"/>
      <c r="M35" s="118"/>
      <c r="N35" s="118"/>
      <c r="O35" s="119"/>
      <c r="P35" s="118"/>
      <c r="Q35" s="118"/>
      <c r="R35" s="120"/>
      <c r="S35" s="123"/>
      <c r="T35" s="151">
        <v>1.64</v>
      </c>
      <c r="U35" s="125">
        <v>2.12</v>
      </c>
      <c r="V35" s="500"/>
      <c r="W35" s="289"/>
    </row>
    <row r="36" spans="1:23" ht="13.8">
      <c r="A36" s="477"/>
      <c r="B36" s="30"/>
      <c r="C36" s="31"/>
      <c r="D36" s="32"/>
      <c r="E36" s="93" t="s">
        <v>264</v>
      </c>
      <c r="F36" s="22" t="s">
        <v>265</v>
      </c>
      <c r="G36" s="116" t="s">
        <v>266</v>
      </c>
      <c r="H36" s="107" t="s">
        <v>109</v>
      </c>
      <c r="I36" s="121"/>
      <c r="J36" s="121"/>
      <c r="K36" s="122"/>
      <c r="L36" s="122"/>
      <c r="M36" s="122"/>
      <c r="N36" s="121"/>
      <c r="O36" s="122"/>
      <c r="P36" s="118"/>
      <c r="Q36" s="118"/>
      <c r="R36" s="120"/>
      <c r="S36" s="120"/>
      <c r="T36" s="136">
        <v>0.64400000000000002</v>
      </c>
      <c r="U36" s="182">
        <v>0.76729999999999998</v>
      </c>
      <c r="V36" s="498"/>
      <c r="W36" s="182">
        <f>AVERAGE(J36:U36)</f>
        <v>0.70565</v>
      </c>
    </row>
    <row r="37" spans="1:23" ht="39.6">
      <c r="A37" s="180" t="s">
        <v>267</v>
      </c>
      <c r="B37" s="181" t="s">
        <v>258</v>
      </c>
      <c r="C37" s="178" t="s">
        <v>268</v>
      </c>
      <c r="D37" s="178"/>
      <c r="E37" s="181" t="s">
        <v>258</v>
      </c>
      <c r="F37" s="178" t="s">
        <v>269</v>
      </c>
      <c r="G37" s="221" t="s">
        <v>270</v>
      </c>
      <c r="H37" s="186" t="s">
        <v>109</v>
      </c>
      <c r="I37" s="183"/>
      <c r="J37" s="183"/>
      <c r="K37" s="184"/>
      <c r="L37" s="184"/>
      <c r="M37" s="184"/>
      <c r="N37" s="184"/>
      <c r="O37" s="184"/>
      <c r="P37" s="184"/>
      <c r="Q37" s="184"/>
      <c r="R37" s="184"/>
      <c r="S37" s="185"/>
      <c r="T37" s="139">
        <v>0.77</v>
      </c>
      <c r="U37" s="139">
        <v>0.79</v>
      </c>
      <c r="V37" s="500"/>
      <c r="W37" s="289"/>
    </row>
    <row r="38" spans="1:23" ht="15">
      <c r="H38" s="34"/>
      <c r="K38" s="35"/>
      <c r="L38" s="35"/>
    </row>
    <row r="39" spans="1:23" ht="15">
      <c r="H39" s="34"/>
      <c r="K39" s="35"/>
      <c r="L39" s="35"/>
    </row>
    <row r="40" spans="1:23" ht="13.8">
      <c r="H40" s="34"/>
      <c r="J40" s="36"/>
      <c r="K40" s="37"/>
      <c r="L40" s="37"/>
      <c r="T40" s="126"/>
      <c r="U40" s="126"/>
    </row>
    <row r="41" spans="1:23" ht="13.8">
      <c r="G41" s="38"/>
      <c r="H41" s="34"/>
      <c r="J41" s="36"/>
      <c r="K41" s="37"/>
      <c r="L41" s="37"/>
      <c r="V41" s="127"/>
    </row>
    <row r="42" spans="1:23" ht="13.8">
      <c r="H42" s="34"/>
      <c r="J42" s="36"/>
      <c r="K42" s="37"/>
      <c r="L42" s="37"/>
      <c r="V42" s="127"/>
    </row>
    <row r="43" spans="1:23" ht="15">
      <c r="H43" s="34"/>
      <c r="K43" s="35"/>
      <c r="L43" s="35"/>
      <c r="V43" s="127"/>
    </row>
    <row r="44" spans="1:23" ht="15">
      <c r="H44" s="34"/>
      <c r="K44" s="35"/>
      <c r="L44" s="35"/>
      <c r="T44" s="126"/>
      <c r="U44" s="126"/>
      <c r="V44" s="128"/>
      <c r="W44" s="126"/>
    </row>
    <row r="45" spans="1:23" ht="15">
      <c r="H45" s="34"/>
      <c r="K45" s="35"/>
      <c r="L45" s="35"/>
    </row>
    <row r="46" spans="1:23" ht="15">
      <c r="H46" s="34"/>
      <c r="K46" s="35"/>
      <c r="L46" s="35"/>
      <c r="T46" s="473"/>
      <c r="U46" s="473"/>
      <c r="V46" s="473"/>
      <c r="W46" s="473"/>
    </row>
    <row r="47" spans="1:23" ht="15">
      <c r="H47" s="34"/>
      <c r="K47" s="35"/>
      <c r="L47" s="35"/>
    </row>
    <row r="48" spans="1:23" ht="15">
      <c r="H48" s="34"/>
      <c r="K48" s="35"/>
      <c r="L48" s="35"/>
    </row>
    <row r="49" spans="8:23" ht="15">
      <c r="H49" s="34"/>
      <c r="K49" s="35"/>
      <c r="L49" s="35"/>
      <c r="T49" s="126"/>
      <c r="U49" s="126"/>
      <c r="V49" s="126"/>
      <c r="W49" s="126"/>
    </row>
    <row r="50" spans="8:23" ht="15">
      <c r="H50" s="34"/>
      <c r="K50" s="35"/>
      <c r="L50" s="35"/>
    </row>
    <row r="51" spans="8:23" ht="15">
      <c r="H51" s="34"/>
      <c r="K51" s="35"/>
      <c r="L51" s="35"/>
      <c r="T51" s="126"/>
      <c r="U51" s="126"/>
      <c r="V51" s="474"/>
      <c r="W51" s="474"/>
    </row>
    <row r="52" spans="8:23" ht="15">
      <c r="H52" s="34"/>
      <c r="K52" s="35"/>
      <c r="L52" s="35"/>
      <c r="V52" s="127"/>
    </row>
    <row r="53" spans="8:23" ht="15">
      <c r="H53" s="34"/>
      <c r="K53" s="35"/>
      <c r="L53" s="35"/>
      <c r="V53" s="127"/>
    </row>
    <row r="54" spans="8:23" ht="15">
      <c r="H54" s="34"/>
      <c r="K54" s="35"/>
      <c r="L54" s="35"/>
      <c r="V54" s="127"/>
    </row>
    <row r="55" spans="8:23" ht="15">
      <c r="H55" s="34"/>
      <c r="K55" s="35"/>
      <c r="L55" s="35"/>
      <c r="T55" s="126"/>
      <c r="U55" s="126"/>
      <c r="V55" s="128"/>
      <c r="W55" s="126"/>
    </row>
    <row r="56" spans="8:23" ht="15">
      <c r="H56" s="34"/>
      <c r="K56" s="35"/>
      <c r="L56" s="35"/>
    </row>
    <row r="57" spans="8:23" ht="15">
      <c r="H57" s="34"/>
      <c r="K57" s="35"/>
      <c r="L57" s="35"/>
    </row>
    <row r="58" spans="8:23" ht="15">
      <c r="H58" s="34"/>
      <c r="K58" s="35"/>
      <c r="L58" s="35"/>
    </row>
    <row r="59" spans="8:23" ht="15">
      <c r="H59" s="34"/>
      <c r="K59" s="35"/>
      <c r="L59" s="35"/>
    </row>
    <row r="60" spans="8:23" ht="15">
      <c r="H60" s="34"/>
      <c r="K60" s="35"/>
      <c r="L60" s="35"/>
    </row>
    <row r="61" spans="8:23" ht="15">
      <c r="H61" s="34"/>
      <c r="K61" s="35"/>
      <c r="L61" s="35"/>
    </row>
    <row r="62" spans="8:23" ht="15">
      <c r="H62" s="34"/>
      <c r="K62" s="35"/>
      <c r="L62" s="35"/>
    </row>
    <row r="63" spans="8:23" ht="15">
      <c r="H63" s="34"/>
      <c r="K63" s="35"/>
      <c r="L63" s="35"/>
    </row>
    <row r="64" spans="8:23" ht="15">
      <c r="H64" s="34"/>
      <c r="K64" s="35"/>
      <c r="L64" s="35"/>
    </row>
    <row r="65" spans="8:12" ht="15">
      <c r="H65" s="34"/>
      <c r="K65" s="35"/>
      <c r="L65" s="35"/>
    </row>
    <row r="66" spans="8:12" ht="15">
      <c r="H66" s="34"/>
      <c r="K66" s="35"/>
      <c r="L66" s="35"/>
    </row>
    <row r="67" spans="8:12" ht="15">
      <c r="H67" s="34"/>
      <c r="K67" s="35"/>
      <c r="L67" s="35"/>
    </row>
    <row r="68" spans="8:12" ht="15">
      <c r="H68" s="34"/>
      <c r="K68" s="35"/>
      <c r="L68" s="35"/>
    </row>
    <row r="69" spans="8:12" ht="15">
      <c r="H69" s="34"/>
      <c r="K69" s="35"/>
      <c r="L69" s="35"/>
    </row>
    <row r="70" spans="8:12" ht="15">
      <c r="H70" s="34"/>
      <c r="K70" s="35"/>
      <c r="L70" s="35"/>
    </row>
    <row r="71" spans="8:12" ht="15">
      <c r="H71" s="34"/>
      <c r="K71" s="35"/>
      <c r="L71" s="35"/>
    </row>
    <row r="72" spans="8:12" ht="15">
      <c r="H72" s="34"/>
      <c r="K72" s="35"/>
      <c r="L72" s="35"/>
    </row>
    <row r="73" spans="8:12" ht="15">
      <c r="H73" s="34"/>
      <c r="K73" s="35"/>
      <c r="L73" s="35"/>
    </row>
    <row r="74" spans="8:12" ht="15">
      <c r="H74" s="34"/>
      <c r="K74" s="35"/>
      <c r="L74" s="35"/>
    </row>
    <row r="75" spans="8:12" ht="15">
      <c r="H75" s="34"/>
      <c r="K75" s="35"/>
      <c r="L75" s="35"/>
    </row>
    <row r="76" spans="8:12" ht="15">
      <c r="H76" s="34"/>
      <c r="K76" s="35"/>
      <c r="L76" s="35"/>
    </row>
    <row r="77" spans="8:12" ht="15">
      <c r="H77" s="34"/>
      <c r="K77" s="35"/>
      <c r="L77" s="35"/>
    </row>
    <row r="78" spans="8:12" ht="15">
      <c r="H78" s="34"/>
      <c r="K78" s="35"/>
      <c r="L78" s="35"/>
    </row>
    <row r="79" spans="8:12" ht="15">
      <c r="H79" s="34"/>
      <c r="K79" s="35"/>
      <c r="L79" s="35"/>
    </row>
    <row r="80" spans="8:12" ht="15">
      <c r="H80" s="34"/>
      <c r="K80" s="35"/>
      <c r="L80" s="35"/>
    </row>
    <row r="81" spans="1:12" ht="15">
      <c r="H81" s="34"/>
      <c r="K81" s="35"/>
      <c r="L81" s="35"/>
    </row>
    <row r="82" spans="1:12" ht="15">
      <c r="H82" s="34"/>
      <c r="K82" s="35"/>
      <c r="L82" s="35"/>
    </row>
    <row r="83" spans="1:12" ht="15">
      <c r="H83" s="34"/>
      <c r="K83" s="35"/>
      <c r="L83" s="35"/>
    </row>
    <row r="84" spans="1:12" ht="15">
      <c r="H84" s="34"/>
      <c r="K84" s="35"/>
      <c r="L84" s="35"/>
    </row>
    <row r="85" spans="1:12" ht="15">
      <c r="H85" s="34"/>
      <c r="K85" s="35"/>
      <c r="L85" s="35"/>
    </row>
    <row r="86" spans="1:12" ht="15">
      <c r="H86" s="34"/>
      <c r="K86" s="35"/>
      <c r="L86" s="35"/>
    </row>
    <row r="87" spans="1:12" ht="15">
      <c r="H87" s="34"/>
      <c r="K87" s="35"/>
      <c r="L87" s="35"/>
    </row>
    <row r="88" spans="1:12" ht="15">
      <c r="H88" s="34"/>
      <c r="K88" s="35"/>
      <c r="L88" s="35"/>
    </row>
    <row r="89" spans="1:12" ht="15">
      <c r="H89" s="34"/>
      <c r="K89" s="35"/>
      <c r="L89" s="35"/>
    </row>
    <row r="90" spans="1:12" ht="15">
      <c r="A90" t="s">
        <v>271</v>
      </c>
      <c r="E90">
        <v>36614</v>
      </c>
      <c r="H90" s="34"/>
      <c r="K90" s="35"/>
      <c r="L90" s="35"/>
    </row>
    <row r="91" spans="1:12" ht="15">
      <c r="A91" t="s">
        <v>272</v>
      </c>
      <c r="E91">
        <v>5738</v>
      </c>
      <c r="H91" s="34"/>
      <c r="K91" s="35"/>
      <c r="L91" s="35"/>
    </row>
    <row r="92" spans="1:12" ht="15">
      <c r="E92">
        <f>100-((E91*100)/E90)</f>
        <v>84.328398973070406</v>
      </c>
      <c r="H92" s="34"/>
      <c r="K92" s="35"/>
      <c r="L92" s="35"/>
    </row>
    <row r="93" spans="1:12" ht="15">
      <c r="H93" s="34"/>
      <c r="K93" s="35"/>
      <c r="L93" s="35"/>
    </row>
    <row r="94" spans="1:12" ht="15">
      <c r="H94" s="34"/>
      <c r="K94" s="35"/>
      <c r="L94" s="35"/>
    </row>
    <row r="95" spans="1:12" ht="15">
      <c r="H95" s="34"/>
      <c r="K95" s="35"/>
      <c r="L95" s="35"/>
    </row>
    <row r="96" spans="1:12" ht="15">
      <c r="H96" s="34"/>
      <c r="K96" s="35"/>
      <c r="L96" s="35"/>
    </row>
    <row r="97" spans="8:12" ht="15">
      <c r="H97" s="34"/>
      <c r="K97" s="35"/>
      <c r="L97" s="35"/>
    </row>
    <row r="98" spans="8:12" ht="15">
      <c r="H98" s="34"/>
      <c r="K98" s="35"/>
      <c r="L98" s="35"/>
    </row>
    <row r="99" spans="8:12" ht="15">
      <c r="H99" s="34"/>
      <c r="K99" s="35"/>
      <c r="L99" s="35"/>
    </row>
    <row r="100" spans="8:12" ht="15">
      <c r="H100" s="34"/>
      <c r="K100" s="35"/>
      <c r="L100" s="35"/>
    </row>
    <row r="101" spans="8:12" ht="15">
      <c r="H101" s="34"/>
      <c r="K101" s="35"/>
      <c r="L101" s="35"/>
    </row>
    <row r="102" spans="8:12" ht="15">
      <c r="H102" s="34"/>
      <c r="K102" s="35"/>
      <c r="L102" s="35"/>
    </row>
    <row r="103" spans="8:12" ht="15">
      <c r="H103" s="34"/>
      <c r="K103" s="35"/>
      <c r="L103" s="35"/>
    </row>
    <row r="104" spans="8:12" ht="15">
      <c r="H104" s="34"/>
      <c r="K104" s="35"/>
      <c r="L104" s="35"/>
    </row>
    <row r="105" spans="8:12" ht="15">
      <c r="H105" s="34"/>
      <c r="K105" s="35"/>
      <c r="L105" s="35"/>
    </row>
    <row r="106" spans="8:12" ht="15">
      <c r="H106" s="34"/>
      <c r="K106" s="35"/>
      <c r="L106" s="35"/>
    </row>
    <row r="107" spans="8:12" ht="15">
      <c r="H107" s="34"/>
      <c r="K107" s="35"/>
      <c r="L107" s="35"/>
    </row>
    <row r="108" spans="8:12" ht="15">
      <c r="H108" s="34"/>
      <c r="K108" s="35"/>
      <c r="L108" s="35"/>
    </row>
    <row r="109" spans="8:12" ht="15">
      <c r="H109" s="34"/>
      <c r="K109" s="35"/>
      <c r="L109" s="35"/>
    </row>
    <row r="110" spans="8:12" ht="15">
      <c r="H110" s="34"/>
      <c r="K110" s="35"/>
      <c r="L110" s="35"/>
    </row>
    <row r="111" spans="8:12" ht="15">
      <c r="H111" s="34"/>
      <c r="K111" s="35"/>
      <c r="L111" s="35"/>
    </row>
    <row r="112" spans="8:12" ht="15">
      <c r="H112" s="34"/>
      <c r="K112" s="35"/>
      <c r="L112" s="35"/>
    </row>
    <row r="113" spans="8:12" ht="15">
      <c r="H113" s="34"/>
      <c r="K113" s="35"/>
      <c r="L113" s="35"/>
    </row>
    <row r="114" spans="8:12" ht="15">
      <c r="H114" s="34"/>
      <c r="K114" s="35"/>
      <c r="L114" s="35"/>
    </row>
    <row r="115" spans="8:12" ht="15">
      <c r="H115" s="34"/>
      <c r="K115" s="35"/>
      <c r="L115" s="35"/>
    </row>
    <row r="116" spans="8:12" ht="15">
      <c r="H116" s="34"/>
      <c r="K116" s="35"/>
      <c r="L116" s="35"/>
    </row>
    <row r="117" spans="8:12" ht="15">
      <c r="H117" s="34"/>
      <c r="K117" s="35"/>
      <c r="L117" s="35"/>
    </row>
    <row r="118" spans="8:12" ht="15">
      <c r="H118" s="34"/>
      <c r="K118" s="35"/>
      <c r="L118" s="35"/>
    </row>
    <row r="119" spans="8:12" ht="15">
      <c r="H119" s="34"/>
      <c r="K119" s="35"/>
      <c r="L119" s="35"/>
    </row>
    <row r="120" spans="8:12" ht="15">
      <c r="H120" s="34"/>
      <c r="K120" s="35"/>
      <c r="L120" s="35"/>
    </row>
    <row r="121" spans="8:12" ht="15">
      <c r="H121" s="34"/>
      <c r="K121" s="35"/>
      <c r="L121" s="35"/>
    </row>
    <row r="122" spans="8:12" ht="15">
      <c r="H122" s="34"/>
      <c r="K122" s="35"/>
      <c r="L122" s="35"/>
    </row>
    <row r="123" spans="8:12" ht="15">
      <c r="H123" s="34"/>
      <c r="K123" s="35"/>
      <c r="L123" s="35"/>
    </row>
    <row r="124" spans="8:12" ht="15">
      <c r="H124" s="34"/>
      <c r="K124" s="35"/>
      <c r="L124" s="35"/>
    </row>
    <row r="125" spans="8:12" ht="15">
      <c r="H125" s="34"/>
      <c r="K125" s="35"/>
      <c r="L125" s="35"/>
    </row>
    <row r="126" spans="8:12" ht="15">
      <c r="H126" s="34"/>
      <c r="K126" s="35"/>
      <c r="L126" s="35"/>
    </row>
    <row r="127" spans="8:12" ht="15">
      <c r="H127" s="34"/>
      <c r="K127" s="35"/>
      <c r="L127" s="35"/>
    </row>
    <row r="128" spans="8:12" ht="15">
      <c r="H128" s="34"/>
      <c r="K128" s="35"/>
      <c r="L128" s="35"/>
    </row>
    <row r="129" spans="8:12" ht="15">
      <c r="H129" s="34"/>
      <c r="K129" s="35"/>
      <c r="L129" s="35"/>
    </row>
    <row r="130" spans="8:12" ht="15">
      <c r="H130" s="34"/>
      <c r="K130" s="35"/>
      <c r="L130" s="35"/>
    </row>
    <row r="131" spans="8:12" ht="15">
      <c r="H131" s="34"/>
      <c r="K131" s="35"/>
      <c r="L131" s="35"/>
    </row>
    <row r="132" spans="8:12" ht="15">
      <c r="H132" s="34"/>
      <c r="K132" s="35"/>
      <c r="L132" s="35"/>
    </row>
    <row r="133" spans="8:12" ht="15">
      <c r="H133" s="34"/>
      <c r="K133" s="35"/>
      <c r="L133" s="35"/>
    </row>
    <row r="134" spans="8:12" ht="15">
      <c r="H134" s="34"/>
      <c r="K134" s="35"/>
      <c r="L134" s="35"/>
    </row>
    <row r="135" spans="8:12" ht="15">
      <c r="H135" s="34"/>
      <c r="K135" s="35"/>
      <c r="L135" s="35"/>
    </row>
    <row r="136" spans="8:12" ht="15">
      <c r="H136" s="34"/>
      <c r="K136" s="35"/>
      <c r="L136" s="35"/>
    </row>
    <row r="137" spans="8:12" ht="15">
      <c r="H137" s="34"/>
      <c r="K137" s="35"/>
      <c r="L137" s="35"/>
    </row>
    <row r="138" spans="8:12" ht="15">
      <c r="H138" s="34"/>
      <c r="K138" s="35"/>
      <c r="L138" s="35"/>
    </row>
    <row r="139" spans="8:12" ht="15">
      <c r="H139" s="34"/>
      <c r="K139" s="35"/>
      <c r="L139" s="35"/>
    </row>
    <row r="140" spans="8:12" ht="15">
      <c r="H140" s="34"/>
      <c r="K140" s="35"/>
      <c r="L140" s="35"/>
    </row>
    <row r="141" spans="8:12" ht="15">
      <c r="H141" s="34"/>
      <c r="K141" s="35"/>
      <c r="L141" s="35"/>
    </row>
    <row r="142" spans="8:12" ht="15">
      <c r="H142" s="34"/>
      <c r="K142" s="35"/>
      <c r="L142" s="35"/>
    </row>
    <row r="143" spans="8:12" ht="15">
      <c r="H143" s="34"/>
      <c r="K143" s="35"/>
      <c r="L143" s="35"/>
    </row>
    <row r="144" spans="8:12" ht="15">
      <c r="H144" s="34"/>
      <c r="K144" s="35"/>
      <c r="L144" s="35"/>
    </row>
    <row r="145" spans="8:12" ht="15">
      <c r="H145" s="34"/>
      <c r="K145" s="35"/>
      <c r="L145" s="35"/>
    </row>
    <row r="146" spans="8:12" ht="15">
      <c r="H146" s="34"/>
      <c r="K146" s="35"/>
      <c r="L146" s="35"/>
    </row>
    <row r="147" spans="8:12" ht="15">
      <c r="H147" s="34"/>
      <c r="K147" s="35"/>
      <c r="L147" s="35"/>
    </row>
    <row r="148" spans="8:12" ht="15">
      <c r="H148" s="34"/>
      <c r="K148" s="35"/>
      <c r="L148" s="35"/>
    </row>
    <row r="149" spans="8:12" ht="15">
      <c r="H149" s="34"/>
      <c r="K149" s="35"/>
      <c r="L149" s="35"/>
    </row>
    <row r="150" spans="8:12" ht="15">
      <c r="H150" s="34"/>
      <c r="K150" s="35"/>
      <c r="L150" s="35"/>
    </row>
    <row r="151" spans="8:12" ht="15">
      <c r="H151" s="34"/>
      <c r="K151" s="35"/>
      <c r="L151" s="35"/>
    </row>
    <row r="152" spans="8:12" ht="15">
      <c r="H152" s="34"/>
      <c r="K152" s="35"/>
      <c r="L152" s="35"/>
    </row>
    <row r="153" spans="8:12" ht="15">
      <c r="H153" s="34"/>
      <c r="K153" s="35"/>
      <c r="L153" s="35"/>
    </row>
    <row r="154" spans="8:12" ht="15">
      <c r="H154" s="34"/>
      <c r="K154" s="35"/>
      <c r="L154" s="35"/>
    </row>
    <row r="155" spans="8:12" ht="15">
      <c r="H155" s="34"/>
      <c r="K155" s="35"/>
      <c r="L155" s="35"/>
    </row>
    <row r="156" spans="8:12" ht="15">
      <c r="H156" s="34"/>
      <c r="K156" s="35"/>
      <c r="L156" s="35"/>
    </row>
    <row r="157" spans="8:12" ht="15">
      <c r="H157" s="34"/>
      <c r="K157" s="35"/>
      <c r="L157" s="35"/>
    </row>
    <row r="158" spans="8:12" ht="15">
      <c r="H158" s="34"/>
      <c r="K158" s="35"/>
      <c r="L158" s="35"/>
    </row>
    <row r="159" spans="8:12" ht="15">
      <c r="H159" s="34"/>
      <c r="K159" s="35"/>
      <c r="L159" s="35"/>
    </row>
    <row r="160" spans="8:12" ht="15">
      <c r="H160" s="34"/>
      <c r="K160" s="35"/>
      <c r="L160" s="35"/>
    </row>
    <row r="161" spans="8:12" ht="15">
      <c r="H161" s="34"/>
      <c r="K161" s="35"/>
      <c r="L161" s="35"/>
    </row>
    <row r="162" spans="8:12" ht="15">
      <c r="H162" s="34"/>
      <c r="K162" s="35"/>
      <c r="L162" s="35"/>
    </row>
    <row r="163" spans="8:12" ht="15">
      <c r="H163" s="34"/>
      <c r="K163" s="35"/>
      <c r="L163" s="35"/>
    </row>
    <row r="164" spans="8:12" ht="15">
      <c r="H164" s="34"/>
      <c r="K164" s="35"/>
      <c r="L164" s="35"/>
    </row>
    <row r="165" spans="8:12" ht="15">
      <c r="H165" s="34"/>
      <c r="K165" s="35"/>
      <c r="L165" s="35"/>
    </row>
    <row r="166" spans="8:12" ht="15">
      <c r="H166" s="34"/>
      <c r="K166" s="35"/>
      <c r="L166" s="35"/>
    </row>
    <row r="167" spans="8:12" ht="15">
      <c r="H167" s="34"/>
      <c r="K167" s="35"/>
      <c r="L167" s="35"/>
    </row>
    <row r="168" spans="8:12" ht="15">
      <c r="H168" s="34"/>
      <c r="K168" s="35"/>
      <c r="L168" s="35"/>
    </row>
    <row r="169" spans="8:12" ht="15">
      <c r="H169" s="34"/>
      <c r="K169" s="35"/>
      <c r="L169" s="35"/>
    </row>
    <row r="170" spans="8:12" ht="15">
      <c r="H170" s="34"/>
      <c r="K170" s="35"/>
      <c r="L170" s="35"/>
    </row>
    <row r="171" spans="8:12" ht="15">
      <c r="H171" s="34"/>
      <c r="K171" s="35"/>
      <c r="L171" s="35"/>
    </row>
    <row r="172" spans="8:12" ht="15">
      <c r="H172" s="34"/>
      <c r="K172" s="35"/>
      <c r="L172" s="35"/>
    </row>
    <row r="173" spans="8:12" ht="15">
      <c r="H173" s="34"/>
      <c r="K173" s="35"/>
      <c r="L173" s="35"/>
    </row>
    <row r="174" spans="8:12" ht="15">
      <c r="H174" s="34"/>
      <c r="K174" s="35"/>
      <c r="L174" s="35"/>
    </row>
    <row r="175" spans="8:12" ht="15">
      <c r="H175" s="34"/>
      <c r="K175" s="35"/>
      <c r="L175" s="35"/>
    </row>
    <row r="176" spans="8:12" ht="15">
      <c r="H176" s="34"/>
      <c r="K176" s="35"/>
      <c r="L176" s="35"/>
    </row>
    <row r="177" spans="8:12" ht="15">
      <c r="H177" s="34"/>
      <c r="K177" s="35"/>
      <c r="L177" s="35"/>
    </row>
    <row r="178" spans="8:12" ht="15">
      <c r="H178" s="34"/>
      <c r="K178" s="35"/>
      <c r="L178" s="35"/>
    </row>
    <row r="179" spans="8:12" ht="15">
      <c r="H179" s="34"/>
      <c r="K179" s="35"/>
      <c r="L179" s="35"/>
    </row>
    <row r="180" spans="8:12" ht="15">
      <c r="H180" s="34"/>
      <c r="K180" s="35"/>
      <c r="L180" s="35"/>
    </row>
    <row r="181" spans="8:12" ht="15">
      <c r="H181" s="34"/>
      <c r="K181" s="35"/>
      <c r="L181" s="35"/>
    </row>
    <row r="182" spans="8:12" ht="15">
      <c r="H182" s="34"/>
      <c r="K182" s="35"/>
      <c r="L182" s="35"/>
    </row>
    <row r="183" spans="8:12" ht="15">
      <c r="H183" s="34"/>
      <c r="K183" s="35"/>
      <c r="L183" s="35"/>
    </row>
    <row r="184" spans="8:12" ht="15">
      <c r="H184" s="34"/>
      <c r="K184" s="35"/>
      <c r="L184" s="35"/>
    </row>
    <row r="185" spans="8:12" ht="15">
      <c r="H185" s="34"/>
      <c r="K185" s="35"/>
      <c r="L185" s="35"/>
    </row>
    <row r="186" spans="8:12" ht="15">
      <c r="H186" s="34"/>
      <c r="K186" s="35"/>
      <c r="L186" s="35"/>
    </row>
    <row r="187" spans="8:12" ht="15">
      <c r="H187" s="34"/>
      <c r="K187" s="35"/>
      <c r="L187" s="35"/>
    </row>
    <row r="188" spans="8:12" ht="15">
      <c r="H188" s="34"/>
      <c r="K188" s="35"/>
      <c r="L188" s="35"/>
    </row>
    <row r="189" spans="8:12" ht="15">
      <c r="H189" s="34"/>
      <c r="K189" s="35"/>
      <c r="L189" s="35"/>
    </row>
    <row r="190" spans="8:12" ht="15">
      <c r="H190" s="34"/>
      <c r="K190" s="35"/>
      <c r="L190" s="35"/>
    </row>
    <row r="191" spans="8:12" ht="15">
      <c r="H191" s="34"/>
      <c r="K191" s="35"/>
      <c r="L191" s="35"/>
    </row>
    <row r="192" spans="8:12" ht="15">
      <c r="H192" s="34"/>
      <c r="K192" s="35"/>
      <c r="L192" s="35"/>
    </row>
    <row r="193" spans="8:12" ht="15">
      <c r="H193" s="34"/>
      <c r="K193" s="35"/>
      <c r="L193" s="35"/>
    </row>
    <row r="194" spans="8:12" ht="15">
      <c r="H194" s="34"/>
      <c r="K194" s="35"/>
      <c r="L194" s="35"/>
    </row>
    <row r="195" spans="8:12" ht="15">
      <c r="H195" s="34"/>
      <c r="K195" s="35"/>
      <c r="L195" s="35"/>
    </row>
    <row r="196" spans="8:12" ht="15">
      <c r="H196" s="34"/>
      <c r="K196" s="35"/>
      <c r="L196" s="35"/>
    </row>
    <row r="197" spans="8:12" ht="15">
      <c r="H197" s="34"/>
      <c r="K197" s="35"/>
      <c r="L197" s="35"/>
    </row>
    <row r="198" spans="8:12" ht="15">
      <c r="H198" s="34"/>
      <c r="K198" s="35"/>
      <c r="L198" s="35"/>
    </row>
    <row r="199" spans="8:12" ht="15">
      <c r="H199" s="34"/>
      <c r="K199" s="35"/>
      <c r="L199" s="35"/>
    </row>
    <row r="200" spans="8:12" ht="15">
      <c r="H200" s="34"/>
      <c r="K200" s="35"/>
      <c r="L200" s="35"/>
    </row>
    <row r="201" spans="8:12" ht="15">
      <c r="H201" s="34"/>
      <c r="K201" s="35"/>
      <c r="L201" s="35"/>
    </row>
    <row r="202" spans="8:12" ht="15">
      <c r="H202" s="34"/>
      <c r="K202" s="35"/>
      <c r="L202" s="35"/>
    </row>
    <row r="203" spans="8:12" ht="15">
      <c r="H203" s="34"/>
      <c r="K203" s="35"/>
      <c r="L203" s="35"/>
    </row>
    <row r="204" spans="8:12" ht="15">
      <c r="H204" s="34"/>
      <c r="K204" s="35"/>
      <c r="L204" s="35"/>
    </row>
    <row r="205" spans="8:12" ht="15">
      <c r="H205" s="34"/>
      <c r="K205" s="35"/>
      <c r="L205" s="35"/>
    </row>
    <row r="206" spans="8:12" ht="15">
      <c r="H206" s="34"/>
      <c r="K206" s="35"/>
      <c r="L206" s="35"/>
    </row>
    <row r="207" spans="8:12" ht="15">
      <c r="H207" s="34"/>
      <c r="K207" s="35"/>
      <c r="L207" s="35"/>
    </row>
    <row r="208" spans="8:12" ht="15">
      <c r="H208" s="34"/>
      <c r="K208" s="35"/>
      <c r="L208" s="35"/>
    </row>
    <row r="209" spans="8:12" ht="15">
      <c r="H209" s="34"/>
      <c r="K209" s="35"/>
      <c r="L209" s="35"/>
    </row>
    <row r="210" spans="8:12" ht="15">
      <c r="H210" s="34"/>
      <c r="K210" s="35"/>
      <c r="L210" s="35"/>
    </row>
    <row r="211" spans="8:12" ht="15">
      <c r="H211" s="34"/>
      <c r="K211" s="35"/>
      <c r="L211" s="35"/>
    </row>
    <row r="212" spans="8:12" ht="15">
      <c r="H212" s="34"/>
      <c r="K212" s="35"/>
      <c r="L212" s="35"/>
    </row>
    <row r="213" spans="8:12" ht="15">
      <c r="H213" s="34"/>
      <c r="K213" s="35"/>
      <c r="L213" s="35"/>
    </row>
    <row r="214" spans="8:12" ht="15">
      <c r="H214" s="34"/>
      <c r="K214" s="35"/>
      <c r="L214" s="35"/>
    </row>
    <row r="215" spans="8:12" ht="15">
      <c r="H215" s="34"/>
      <c r="K215" s="35"/>
      <c r="L215" s="35"/>
    </row>
    <row r="216" spans="8:12" ht="15">
      <c r="H216" s="34"/>
      <c r="K216" s="35"/>
      <c r="L216" s="35"/>
    </row>
    <row r="217" spans="8:12" ht="15">
      <c r="H217" s="34"/>
      <c r="K217" s="35"/>
      <c r="L217" s="35"/>
    </row>
    <row r="218" spans="8:12" ht="15">
      <c r="H218" s="34"/>
      <c r="K218" s="35"/>
      <c r="L218" s="35"/>
    </row>
    <row r="219" spans="8:12" ht="15">
      <c r="H219" s="34"/>
      <c r="K219" s="35"/>
      <c r="L219" s="35"/>
    </row>
    <row r="220" spans="8:12" ht="15">
      <c r="H220" s="34"/>
      <c r="K220" s="35"/>
      <c r="L220" s="35"/>
    </row>
    <row r="221" spans="8:12" ht="15">
      <c r="H221" s="34"/>
      <c r="K221" s="35"/>
      <c r="L221" s="35"/>
    </row>
    <row r="222" spans="8:12" ht="15">
      <c r="H222" s="34"/>
      <c r="K222" s="35"/>
      <c r="L222" s="35"/>
    </row>
    <row r="223" spans="8:12" ht="15">
      <c r="H223" s="34"/>
      <c r="K223" s="35"/>
      <c r="L223" s="35"/>
    </row>
    <row r="224" spans="8:12" ht="15">
      <c r="H224" s="34"/>
      <c r="K224" s="35"/>
      <c r="L224" s="35"/>
    </row>
    <row r="225" spans="8:12" ht="15">
      <c r="H225" s="34"/>
      <c r="K225" s="35"/>
      <c r="L225" s="35"/>
    </row>
    <row r="226" spans="8:12" ht="15">
      <c r="H226" s="34"/>
      <c r="K226" s="35"/>
      <c r="L226" s="35"/>
    </row>
    <row r="227" spans="8:12" ht="15">
      <c r="H227" s="34"/>
      <c r="K227" s="35"/>
      <c r="L227" s="35"/>
    </row>
    <row r="228" spans="8:12" ht="15">
      <c r="H228" s="34"/>
      <c r="K228" s="35"/>
      <c r="L228" s="35"/>
    </row>
    <row r="229" spans="8:12" ht="15">
      <c r="H229" s="34"/>
      <c r="K229" s="35"/>
      <c r="L229" s="35"/>
    </row>
    <row r="230" spans="8:12" ht="15">
      <c r="H230" s="34"/>
      <c r="K230" s="35"/>
      <c r="L230" s="35"/>
    </row>
    <row r="231" spans="8:12" ht="15">
      <c r="H231" s="34"/>
      <c r="K231" s="35"/>
      <c r="L231" s="35"/>
    </row>
    <row r="232" spans="8:12" ht="15">
      <c r="H232" s="34"/>
      <c r="K232" s="35"/>
      <c r="L232" s="35"/>
    </row>
    <row r="233" spans="8:12" ht="15">
      <c r="H233" s="34"/>
      <c r="K233" s="35"/>
      <c r="L233" s="35"/>
    </row>
    <row r="234" spans="8:12" ht="15">
      <c r="H234" s="34"/>
      <c r="K234" s="35"/>
      <c r="L234" s="35"/>
    </row>
    <row r="235" spans="8:12" ht="15">
      <c r="H235" s="34"/>
      <c r="K235" s="35"/>
      <c r="L235" s="35"/>
    </row>
    <row r="236" spans="8:12" ht="15">
      <c r="H236" s="34"/>
      <c r="K236" s="35"/>
      <c r="L236" s="35"/>
    </row>
    <row r="237" spans="8:12" ht="15">
      <c r="H237" s="34"/>
      <c r="K237" s="35"/>
      <c r="L237" s="35"/>
    </row>
    <row r="238" spans="8:12" ht="15">
      <c r="H238" s="34"/>
      <c r="K238" s="35"/>
      <c r="L238" s="35"/>
    </row>
    <row r="239" spans="8:12" ht="15">
      <c r="H239" s="34"/>
      <c r="K239" s="35"/>
      <c r="L239" s="35"/>
    </row>
    <row r="240" spans="8:12" ht="15">
      <c r="H240" s="34"/>
      <c r="K240" s="35"/>
      <c r="L240" s="35"/>
    </row>
    <row r="241" spans="8:12" ht="15">
      <c r="H241" s="34"/>
      <c r="K241" s="35"/>
      <c r="L241" s="35"/>
    </row>
    <row r="242" spans="8:12" ht="15">
      <c r="H242" s="34"/>
      <c r="K242" s="35"/>
      <c r="L242" s="35"/>
    </row>
    <row r="243" spans="8:12" ht="15">
      <c r="H243" s="34"/>
      <c r="K243" s="35"/>
      <c r="L243" s="35"/>
    </row>
    <row r="244" spans="8:12" ht="15">
      <c r="H244" s="34"/>
      <c r="K244" s="35"/>
      <c r="L244" s="35"/>
    </row>
    <row r="245" spans="8:12" ht="15">
      <c r="H245" s="34"/>
      <c r="K245" s="35"/>
      <c r="L245" s="35"/>
    </row>
    <row r="246" spans="8:12" ht="15">
      <c r="H246" s="34"/>
      <c r="K246" s="35"/>
      <c r="L246" s="35"/>
    </row>
    <row r="247" spans="8:12" ht="15">
      <c r="H247" s="34"/>
      <c r="K247" s="35"/>
      <c r="L247" s="35"/>
    </row>
    <row r="248" spans="8:12" ht="15">
      <c r="H248" s="34"/>
      <c r="K248" s="35"/>
      <c r="L248" s="35"/>
    </row>
    <row r="249" spans="8:12" ht="15">
      <c r="H249" s="34"/>
      <c r="K249" s="35"/>
      <c r="L249" s="35"/>
    </row>
    <row r="250" spans="8:12" ht="15">
      <c r="H250" s="34"/>
      <c r="K250" s="35"/>
      <c r="L250" s="35"/>
    </row>
    <row r="251" spans="8:12" ht="15">
      <c r="H251" s="34"/>
      <c r="K251" s="35"/>
      <c r="L251" s="35"/>
    </row>
    <row r="252" spans="8:12" ht="15">
      <c r="H252" s="34"/>
      <c r="K252" s="35"/>
      <c r="L252" s="35"/>
    </row>
    <row r="253" spans="8:12" ht="15">
      <c r="H253" s="34"/>
      <c r="K253" s="35"/>
      <c r="L253" s="35"/>
    </row>
    <row r="254" spans="8:12" ht="15">
      <c r="H254" s="34"/>
      <c r="K254" s="35"/>
      <c r="L254" s="35"/>
    </row>
    <row r="255" spans="8:12" ht="15">
      <c r="H255" s="34"/>
      <c r="K255" s="35"/>
      <c r="L255" s="35"/>
    </row>
    <row r="256" spans="8:12" ht="15">
      <c r="H256" s="34"/>
      <c r="K256" s="35"/>
      <c r="L256" s="35"/>
    </row>
    <row r="257" spans="8:12" ht="15">
      <c r="H257" s="34"/>
      <c r="K257" s="35"/>
      <c r="L257" s="35"/>
    </row>
    <row r="258" spans="8:12" ht="15">
      <c r="H258" s="34"/>
      <c r="K258" s="35"/>
      <c r="L258" s="35"/>
    </row>
    <row r="259" spans="8:12" ht="15">
      <c r="H259" s="34"/>
      <c r="K259" s="35"/>
      <c r="L259" s="35"/>
    </row>
    <row r="260" spans="8:12" ht="15">
      <c r="H260" s="34"/>
      <c r="K260" s="35"/>
      <c r="L260" s="35"/>
    </row>
    <row r="261" spans="8:12" ht="15">
      <c r="H261" s="34"/>
      <c r="K261" s="35"/>
      <c r="L261" s="35"/>
    </row>
    <row r="262" spans="8:12" ht="15">
      <c r="H262" s="34"/>
      <c r="K262" s="35"/>
      <c r="L262" s="35"/>
    </row>
    <row r="263" spans="8:12" ht="15">
      <c r="H263" s="34"/>
      <c r="K263" s="35"/>
      <c r="L263" s="35"/>
    </row>
    <row r="264" spans="8:12" ht="15">
      <c r="H264" s="34"/>
      <c r="K264" s="35"/>
      <c r="L264" s="35"/>
    </row>
    <row r="265" spans="8:12" ht="15">
      <c r="H265" s="34"/>
      <c r="K265" s="35"/>
      <c r="L265" s="35"/>
    </row>
    <row r="266" spans="8:12" ht="15">
      <c r="H266" s="34"/>
      <c r="K266" s="35"/>
      <c r="L266" s="35"/>
    </row>
    <row r="267" spans="8:12" ht="15">
      <c r="H267" s="34"/>
      <c r="K267" s="35"/>
      <c r="L267" s="35"/>
    </row>
    <row r="268" spans="8:12" ht="15">
      <c r="H268" s="34"/>
      <c r="K268" s="35"/>
      <c r="L268" s="35"/>
    </row>
    <row r="269" spans="8:12" ht="15">
      <c r="H269" s="34"/>
      <c r="K269" s="35"/>
      <c r="L269" s="35"/>
    </row>
    <row r="270" spans="8:12" ht="15">
      <c r="H270" s="34"/>
      <c r="K270" s="35"/>
      <c r="L270" s="35"/>
    </row>
    <row r="271" spans="8:12" ht="15">
      <c r="H271" s="34"/>
      <c r="K271" s="35"/>
      <c r="L271" s="35"/>
    </row>
    <row r="272" spans="8:12" ht="15">
      <c r="H272" s="34"/>
      <c r="K272" s="35"/>
      <c r="L272" s="35"/>
    </row>
    <row r="273" spans="8:12" ht="15">
      <c r="H273" s="34"/>
      <c r="K273" s="35"/>
      <c r="L273" s="35"/>
    </row>
    <row r="274" spans="8:12" ht="15">
      <c r="H274" s="34"/>
      <c r="K274" s="35"/>
      <c r="L274" s="35"/>
    </row>
    <row r="275" spans="8:12" ht="15">
      <c r="H275" s="34"/>
      <c r="K275" s="35"/>
      <c r="L275" s="35"/>
    </row>
    <row r="276" spans="8:12" ht="15">
      <c r="H276" s="34"/>
      <c r="K276" s="35"/>
      <c r="L276" s="35"/>
    </row>
    <row r="277" spans="8:12" ht="15">
      <c r="H277" s="34"/>
      <c r="K277" s="35"/>
      <c r="L277" s="35"/>
    </row>
    <row r="278" spans="8:12" ht="15">
      <c r="H278" s="34"/>
      <c r="K278" s="35"/>
      <c r="L278" s="35"/>
    </row>
    <row r="279" spans="8:12" ht="15">
      <c r="H279" s="34"/>
      <c r="K279" s="35"/>
      <c r="L279" s="35"/>
    </row>
    <row r="280" spans="8:12" ht="15">
      <c r="H280" s="34"/>
      <c r="K280" s="35"/>
      <c r="L280" s="35"/>
    </row>
    <row r="281" spans="8:12" ht="15">
      <c r="H281" s="34"/>
      <c r="K281" s="35"/>
      <c r="L281" s="35"/>
    </row>
    <row r="282" spans="8:12" ht="15">
      <c r="H282" s="34"/>
      <c r="K282" s="35"/>
      <c r="L282" s="35"/>
    </row>
    <row r="283" spans="8:12" ht="15">
      <c r="H283" s="34"/>
      <c r="K283" s="35"/>
      <c r="L283" s="35"/>
    </row>
    <row r="284" spans="8:12" ht="15">
      <c r="H284" s="34"/>
      <c r="K284" s="35"/>
      <c r="L284" s="35"/>
    </row>
    <row r="285" spans="8:12" ht="15">
      <c r="H285" s="34"/>
      <c r="K285" s="35"/>
      <c r="L285" s="35"/>
    </row>
    <row r="286" spans="8:12" ht="15">
      <c r="H286" s="34"/>
      <c r="K286" s="35"/>
      <c r="L286" s="35"/>
    </row>
    <row r="287" spans="8:12" ht="15">
      <c r="H287" s="34"/>
      <c r="K287" s="35"/>
      <c r="L287" s="35"/>
    </row>
    <row r="288" spans="8:12" ht="15">
      <c r="H288" s="34"/>
      <c r="K288" s="35"/>
      <c r="L288" s="35"/>
    </row>
    <row r="289" spans="8:12" ht="15">
      <c r="H289" s="34"/>
      <c r="K289" s="35"/>
      <c r="L289" s="35"/>
    </row>
    <row r="290" spans="8:12" ht="15">
      <c r="H290" s="34"/>
      <c r="K290" s="35"/>
      <c r="L290" s="35"/>
    </row>
    <row r="291" spans="8:12" ht="15">
      <c r="H291" s="34"/>
      <c r="K291" s="35"/>
      <c r="L291" s="35"/>
    </row>
    <row r="292" spans="8:12" ht="15">
      <c r="H292" s="34"/>
      <c r="K292" s="35"/>
      <c r="L292" s="35"/>
    </row>
    <row r="293" spans="8:12" ht="15">
      <c r="H293" s="34"/>
      <c r="K293" s="35"/>
      <c r="L293" s="35"/>
    </row>
    <row r="294" spans="8:12" ht="15">
      <c r="H294" s="34"/>
      <c r="K294" s="35"/>
      <c r="L294" s="35"/>
    </row>
    <row r="295" spans="8:12" ht="15">
      <c r="H295" s="34"/>
      <c r="K295" s="35"/>
      <c r="L295" s="35"/>
    </row>
    <row r="296" spans="8:12" ht="15">
      <c r="H296" s="34"/>
      <c r="K296" s="35"/>
      <c r="L296" s="35"/>
    </row>
    <row r="297" spans="8:12" ht="15">
      <c r="H297" s="34"/>
      <c r="K297" s="35"/>
      <c r="L297" s="35"/>
    </row>
    <row r="298" spans="8:12" ht="15">
      <c r="H298" s="34"/>
      <c r="K298" s="35"/>
      <c r="L298" s="35"/>
    </row>
    <row r="299" spans="8:12" ht="15">
      <c r="H299" s="34"/>
      <c r="K299" s="35"/>
      <c r="L299" s="35"/>
    </row>
    <row r="300" spans="8:12" ht="15">
      <c r="H300" s="34"/>
      <c r="K300" s="35"/>
      <c r="L300" s="35"/>
    </row>
    <row r="301" spans="8:12" ht="15">
      <c r="H301" s="34"/>
      <c r="K301" s="35"/>
      <c r="L301" s="35"/>
    </row>
    <row r="302" spans="8:12" ht="15">
      <c r="H302" s="34"/>
      <c r="K302" s="35"/>
      <c r="L302" s="35"/>
    </row>
    <row r="303" spans="8:12" ht="15">
      <c r="H303" s="34"/>
      <c r="K303" s="35"/>
      <c r="L303" s="35"/>
    </row>
    <row r="304" spans="8:12" ht="15">
      <c r="H304" s="34"/>
      <c r="K304" s="35"/>
      <c r="L304" s="35"/>
    </row>
    <row r="305" spans="8:12" ht="15">
      <c r="H305" s="34"/>
      <c r="K305" s="35"/>
      <c r="L305" s="35"/>
    </row>
    <row r="306" spans="8:12" ht="15">
      <c r="H306" s="34"/>
      <c r="K306" s="35"/>
      <c r="L306" s="35"/>
    </row>
    <row r="307" spans="8:12" ht="15">
      <c r="H307" s="34"/>
      <c r="K307" s="35"/>
      <c r="L307" s="35"/>
    </row>
    <row r="308" spans="8:12" ht="15">
      <c r="H308" s="34"/>
      <c r="K308" s="35"/>
      <c r="L308" s="35"/>
    </row>
    <row r="309" spans="8:12" ht="15">
      <c r="H309" s="34"/>
      <c r="K309" s="35"/>
      <c r="L309" s="35"/>
    </row>
    <row r="310" spans="8:12" ht="15">
      <c r="H310" s="34"/>
      <c r="K310" s="35"/>
      <c r="L310" s="35"/>
    </row>
    <row r="311" spans="8:12" ht="15">
      <c r="H311" s="34"/>
      <c r="K311" s="35"/>
      <c r="L311" s="35"/>
    </row>
    <row r="312" spans="8:12" ht="15">
      <c r="H312" s="34"/>
      <c r="K312" s="35"/>
      <c r="L312" s="35"/>
    </row>
    <row r="313" spans="8:12" ht="15">
      <c r="H313" s="34"/>
      <c r="K313" s="35"/>
      <c r="L313" s="35"/>
    </row>
    <row r="314" spans="8:12" ht="15">
      <c r="H314" s="34"/>
      <c r="K314" s="35"/>
      <c r="L314" s="35"/>
    </row>
    <row r="315" spans="8:12" ht="15">
      <c r="H315" s="34"/>
      <c r="K315" s="35"/>
      <c r="L315" s="35"/>
    </row>
    <row r="316" spans="8:12" ht="15">
      <c r="H316" s="34"/>
      <c r="K316" s="35"/>
      <c r="L316" s="35"/>
    </row>
    <row r="317" spans="8:12" ht="15">
      <c r="H317" s="34"/>
      <c r="K317" s="35"/>
      <c r="L317" s="35"/>
    </row>
    <row r="318" spans="8:12" ht="15">
      <c r="H318" s="34"/>
      <c r="K318" s="35"/>
      <c r="L318" s="35"/>
    </row>
    <row r="319" spans="8:12" ht="15">
      <c r="H319" s="34"/>
      <c r="K319" s="35"/>
      <c r="L319" s="35"/>
    </row>
    <row r="320" spans="8:12" ht="15">
      <c r="H320" s="34"/>
      <c r="K320" s="35"/>
      <c r="L320" s="35"/>
    </row>
    <row r="321" spans="8:12" ht="15">
      <c r="H321" s="34"/>
      <c r="K321" s="35"/>
      <c r="L321" s="35"/>
    </row>
    <row r="322" spans="8:12" ht="15">
      <c r="H322" s="34"/>
      <c r="K322" s="35"/>
      <c r="L322" s="35"/>
    </row>
    <row r="323" spans="8:12" ht="15">
      <c r="H323" s="34"/>
      <c r="K323" s="35"/>
      <c r="L323" s="35"/>
    </row>
    <row r="324" spans="8:12" ht="15">
      <c r="H324" s="34"/>
      <c r="K324" s="35"/>
      <c r="L324" s="35"/>
    </row>
    <row r="325" spans="8:12" ht="15">
      <c r="H325" s="34"/>
      <c r="K325" s="35"/>
      <c r="L325" s="35"/>
    </row>
    <row r="326" spans="8:12" ht="15">
      <c r="H326" s="34"/>
      <c r="K326" s="35"/>
      <c r="L326" s="35"/>
    </row>
    <row r="327" spans="8:12" ht="15">
      <c r="H327" s="34"/>
      <c r="K327" s="35"/>
      <c r="L327" s="35"/>
    </row>
    <row r="328" spans="8:12" ht="15">
      <c r="H328" s="34"/>
      <c r="K328" s="35"/>
      <c r="L328" s="35"/>
    </row>
    <row r="329" spans="8:12" ht="15">
      <c r="H329" s="34"/>
      <c r="K329" s="35"/>
      <c r="L329" s="35"/>
    </row>
    <row r="330" spans="8:12" ht="15">
      <c r="H330" s="34"/>
      <c r="K330" s="35"/>
      <c r="L330" s="35"/>
    </row>
    <row r="331" spans="8:12" ht="15">
      <c r="H331" s="34"/>
      <c r="K331" s="35"/>
      <c r="L331" s="35"/>
    </row>
    <row r="332" spans="8:12" ht="15">
      <c r="H332" s="34"/>
      <c r="K332" s="35"/>
      <c r="L332" s="35"/>
    </row>
    <row r="333" spans="8:12" ht="15">
      <c r="H333" s="34"/>
      <c r="K333" s="35"/>
      <c r="L333" s="35"/>
    </row>
    <row r="334" spans="8:12" ht="15">
      <c r="H334" s="34"/>
      <c r="K334" s="35"/>
      <c r="L334" s="35"/>
    </row>
    <row r="335" spans="8:12" ht="15">
      <c r="H335" s="34"/>
      <c r="K335" s="35"/>
      <c r="L335" s="35"/>
    </row>
    <row r="336" spans="8:12" ht="15">
      <c r="H336" s="34"/>
      <c r="K336" s="35"/>
      <c r="L336" s="35"/>
    </row>
    <row r="337" spans="8:12" ht="15">
      <c r="H337" s="34"/>
      <c r="K337" s="35"/>
      <c r="L337" s="35"/>
    </row>
    <row r="338" spans="8:12" ht="15">
      <c r="H338" s="34"/>
      <c r="K338" s="35"/>
      <c r="L338" s="35"/>
    </row>
    <row r="339" spans="8:12" ht="15">
      <c r="H339" s="34"/>
      <c r="K339" s="35"/>
      <c r="L339" s="35"/>
    </row>
    <row r="340" spans="8:12" ht="15">
      <c r="H340" s="34"/>
      <c r="K340" s="35"/>
      <c r="L340" s="35"/>
    </row>
    <row r="341" spans="8:12" ht="15">
      <c r="H341" s="34"/>
      <c r="K341" s="35"/>
      <c r="L341" s="35"/>
    </row>
    <row r="342" spans="8:12" ht="15">
      <c r="H342" s="34"/>
      <c r="K342" s="35"/>
      <c r="L342" s="35"/>
    </row>
    <row r="343" spans="8:12" ht="15">
      <c r="H343" s="34"/>
      <c r="K343" s="35"/>
      <c r="L343" s="35"/>
    </row>
    <row r="344" spans="8:12" ht="15">
      <c r="H344" s="34"/>
      <c r="K344" s="35"/>
      <c r="L344" s="35"/>
    </row>
    <row r="345" spans="8:12" ht="15">
      <c r="H345" s="34"/>
      <c r="K345" s="35"/>
      <c r="L345" s="35"/>
    </row>
    <row r="346" spans="8:12" ht="15">
      <c r="H346" s="34"/>
      <c r="K346" s="35"/>
      <c r="L346" s="35"/>
    </row>
    <row r="347" spans="8:12" ht="15">
      <c r="H347" s="34"/>
      <c r="K347" s="35"/>
      <c r="L347" s="35"/>
    </row>
    <row r="348" spans="8:12" ht="15">
      <c r="H348" s="34"/>
      <c r="K348" s="35"/>
      <c r="L348" s="35"/>
    </row>
    <row r="349" spans="8:12" ht="15">
      <c r="H349" s="34"/>
      <c r="K349" s="35"/>
      <c r="L349" s="35"/>
    </row>
    <row r="350" spans="8:12" ht="15">
      <c r="H350" s="34"/>
      <c r="K350" s="35"/>
      <c r="L350" s="35"/>
    </row>
    <row r="351" spans="8:12" ht="15">
      <c r="H351" s="34"/>
      <c r="K351" s="35"/>
      <c r="L351" s="35"/>
    </row>
    <row r="352" spans="8:12" ht="15">
      <c r="H352" s="34"/>
      <c r="K352" s="35"/>
      <c r="L352" s="35"/>
    </row>
    <row r="353" spans="8:12" ht="15">
      <c r="H353" s="34"/>
      <c r="K353" s="35"/>
      <c r="L353" s="35"/>
    </row>
    <row r="354" spans="8:12" ht="15">
      <c r="H354" s="34"/>
      <c r="K354" s="35"/>
      <c r="L354" s="35"/>
    </row>
    <row r="355" spans="8:12" ht="15">
      <c r="H355" s="34"/>
      <c r="K355" s="35"/>
      <c r="L355" s="35"/>
    </row>
    <row r="356" spans="8:12" ht="15">
      <c r="H356" s="34"/>
      <c r="K356" s="35"/>
      <c r="L356" s="35"/>
    </row>
    <row r="357" spans="8:12" ht="15">
      <c r="H357" s="34"/>
      <c r="K357" s="35"/>
      <c r="L357" s="35"/>
    </row>
    <row r="358" spans="8:12" ht="15">
      <c r="H358" s="34"/>
      <c r="K358" s="35"/>
      <c r="L358" s="35"/>
    </row>
    <row r="359" spans="8:12" ht="15">
      <c r="H359" s="34"/>
      <c r="K359" s="35"/>
      <c r="L359" s="35"/>
    </row>
    <row r="360" spans="8:12" ht="15">
      <c r="H360" s="34"/>
      <c r="K360" s="35"/>
      <c r="L360" s="35"/>
    </row>
    <row r="361" spans="8:12" ht="15">
      <c r="H361" s="34"/>
      <c r="K361" s="35"/>
      <c r="L361" s="35"/>
    </row>
    <row r="362" spans="8:12" ht="15">
      <c r="H362" s="34"/>
      <c r="K362" s="35"/>
      <c r="L362" s="35"/>
    </row>
    <row r="363" spans="8:12" ht="15">
      <c r="H363" s="34"/>
      <c r="K363" s="35"/>
      <c r="L363" s="35"/>
    </row>
    <row r="364" spans="8:12" ht="15">
      <c r="H364" s="34"/>
      <c r="K364" s="35"/>
      <c r="L364" s="35"/>
    </row>
    <row r="365" spans="8:12" ht="15">
      <c r="H365" s="34"/>
      <c r="K365" s="35"/>
      <c r="L365" s="35"/>
    </row>
    <row r="366" spans="8:12" ht="15">
      <c r="H366" s="34"/>
      <c r="K366" s="35"/>
      <c r="L366" s="35"/>
    </row>
    <row r="367" spans="8:12" ht="15">
      <c r="H367" s="34"/>
      <c r="K367" s="35"/>
      <c r="L367" s="35"/>
    </row>
    <row r="368" spans="8:12" ht="15">
      <c r="H368" s="34"/>
      <c r="K368" s="35"/>
      <c r="L368" s="35"/>
    </row>
    <row r="369" spans="8:12" ht="15">
      <c r="H369" s="34"/>
      <c r="K369" s="35"/>
      <c r="L369" s="35"/>
    </row>
    <row r="370" spans="8:12" ht="15">
      <c r="H370" s="34"/>
      <c r="K370" s="35"/>
      <c r="L370" s="35"/>
    </row>
    <row r="371" spans="8:12" ht="15">
      <c r="H371" s="34"/>
      <c r="K371" s="35"/>
      <c r="L371" s="35"/>
    </row>
    <row r="372" spans="8:12" ht="15">
      <c r="H372" s="34"/>
      <c r="K372" s="35"/>
      <c r="L372" s="35"/>
    </row>
    <row r="373" spans="8:12" ht="15">
      <c r="H373" s="34"/>
      <c r="K373" s="35"/>
      <c r="L373" s="35"/>
    </row>
    <row r="374" spans="8:12" ht="15">
      <c r="H374" s="34"/>
      <c r="K374" s="35"/>
      <c r="L374" s="35"/>
    </row>
    <row r="375" spans="8:12" ht="15">
      <c r="H375" s="34"/>
      <c r="K375" s="35"/>
      <c r="L375" s="35"/>
    </row>
    <row r="376" spans="8:12" ht="15">
      <c r="H376" s="34"/>
      <c r="K376" s="35"/>
      <c r="L376" s="35"/>
    </row>
    <row r="377" spans="8:12" ht="15">
      <c r="H377" s="34"/>
      <c r="K377" s="35"/>
      <c r="L377" s="35"/>
    </row>
    <row r="378" spans="8:12" ht="15">
      <c r="H378" s="34"/>
      <c r="K378" s="35"/>
      <c r="L378" s="35"/>
    </row>
    <row r="379" spans="8:12" ht="15">
      <c r="H379" s="34"/>
      <c r="K379" s="35"/>
      <c r="L379" s="35"/>
    </row>
    <row r="380" spans="8:12" ht="15">
      <c r="H380" s="34"/>
      <c r="K380" s="35"/>
      <c r="L380" s="35"/>
    </row>
    <row r="381" spans="8:12" ht="15">
      <c r="H381" s="34"/>
      <c r="K381" s="35"/>
      <c r="L381" s="35"/>
    </row>
    <row r="382" spans="8:12" ht="15">
      <c r="H382" s="34"/>
      <c r="K382" s="35"/>
      <c r="L382" s="35"/>
    </row>
    <row r="383" spans="8:12" ht="15">
      <c r="H383" s="34"/>
      <c r="K383" s="35"/>
      <c r="L383" s="35"/>
    </row>
    <row r="384" spans="8:12" ht="15">
      <c r="H384" s="34"/>
      <c r="K384" s="35"/>
      <c r="L384" s="35"/>
    </row>
    <row r="385" spans="8:12" ht="15">
      <c r="H385" s="34"/>
      <c r="K385" s="35"/>
      <c r="L385" s="35"/>
    </row>
    <row r="386" spans="8:12" ht="15">
      <c r="H386" s="34"/>
      <c r="K386" s="35"/>
      <c r="L386" s="35"/>
    </row>
    <row r="387" spans="8:12" ht="15">
      <c r="H387" s="34"/>
      <c r="K387" s="35"/>
      <c r="L387" s="35"/>
    </row>
    <row r="388" spans="8:12" ht="15">
      <c r="H388" s="34"/>
      <c r="K388" s="35"/>
      <c r="L388" s="35"/>
    </row>
    <row r="389" spans="8:12" ht="15">
      <c r="H389" s="34"/>
      <c r="K389" s="35"/>
      <c r="L389" s="35"/>
    </row>
    <row r="390" spans="8:12" ht="15">
      <c r="H390" s="34"/>
      <c r="K390" s="35"/>
      <c r="L390" s="35"/>
    </row>
    <row r="391" spans="8:12" ht="15">
      <c r="H391" s="34"/>
      <c r="K391" s="35"/>
      <c r="L391" s="35"/>
    </row>
    <row r="392" spans="8:12" ht="15">
      <c r="H392" s="34"/>
      <c r="K392" s="35"/>
      <c r="L392" s="35"/>
    </row>
    <row r="393" spans="8:12" ht="15">
      <c r="H393" s="34"/>
      <c r="K393" s="35"/>
      <c r="L393" s="35"/>
    </row>
    <row r="394" spans="8:12" ht="15">
      <c r="H394" s="34"/>
      <c r="K394" s="35"/>
      <c r="L394" s="35"/>
    </row>
    <row r="395" spans="8:12" ht="15">
      <c r="H395" s="34"/>
      <c r="K395" s="35"/>
      <c r="L395" s="35"/>
    </row>
    <row r="396" spans="8:12" ht="15">
      <c r="H396" s="34"/>
      <c r="K396" s="35"/>
      <c r="L396" s="35"/>
    </row>
    <row r="397" spans="8:12" ht="15">
      <c r="H397" s="34"/>
      <c r="K397" s="35"/>
      <c r="L397" s="35"/>
    </row>
    <row r="398" spans="8:12" ht="15">
      <c r="H398" s="34"/>
      <c r="K398" s="35"/>
      <c r="L398" s="35"/>
    </row>
    <row r="399" spans="8:12" ht="15">
      <c r="H399" s="34"/>
      <c r="K399" s="35"/>
      <c r="L399" s="35"/>
    </row>
    <row r="400" spans="8:12" ht="15">
      <c r="H400" s="34"/>
      <c r="K400" s="35"/>
      <c r="L400" s="35"/>
    </row>
    <row r="401" spans="8:12" ht="15">
      <c r="H401" s="34"/>
      <c r="K401" s="35"/>
      <c r="L401" s="35"/>
    </row>
    <row r="402" spans="8:12" ht="15">
      <c r="H402" s="34"/>
      <c r="K402" s="35"/>
      <c r="L402" s="35"/>
    </row>
    <row r="403" spans="8:12" ht="15">
      <c r="H403" s="34"/>
      <c r="K403" s="35"/>
      <c r="L403" s="35"/>
    </row>
    <row r="404" spans="8:12" ht="15">
      <c r="H404" s="34"/>
      <c r="K404" s="35"/>
      <c r="L404" s="35"/>
    </row>
    <row r="405" spans="8:12" ht="15">
      <c r="H405" s="34"/>
      <c r="K405" s="35"/>
      <c r="L405" s="35"/>
    </row>
    <row r="406" spans="8:12" ht="15">
      <c r="H406" s="34"/>
      <c r="K406" s="35"/>
      <c r="L406" s="35"/>
    </row>
    <row r="407" spans="8:12" ht="15">
      <c r="H407" s="34"/>
      <c r="K407" s="35"/>
      <c r="L407" s="35"/>
    </row>
    <row r="408" spans="8:12" ht="15">
      <c r="H408" s="34"/>
      <c r="K408" s="35"/>
      <c r="L408" s="35"/>
    </row>
    <row r="409" spans="8:12" ht="15">
      <c r="H409" s="34"/>
      <c r="K409" s="35"/>
      <c r="L409" s="35"/>
    </row>
    <row r="410" spans="8:12" ht="15">
      <c r="H410" s="34"/>
      <c r="K410" s="35"/>
      <c r="L410" s="35"/>
    </row>
    <row r="411" spans="8:12" ht="15">
      <c r="H411" s="34"/>
      <c r="K411" s="35"/>
      <c r="L411" s="35"/>
    </row>
    <row r="412" spans="8:12" ht="15">
      <c r="H412" s="34"/>
      <c r="K412" s="35"/>
      <c r="L412" s="35"/>
    </row>
    <row r="413" spans="8:12" ht="15">
      <c r="H413" s="34"/>
      <c r="K413" s="35"/>
      <c r="L413" s="35"/>
    </row>
    <row r="414" spans="8:12" ht="15">
      <c r="H414" s="34"/>
      <c r="K414" s="35"/>
      <c r="L414" s="35"/>
    </row>
    <row r="415" spans="8:12" ht="15">
      <c r="H415" s="34"/>
      <c r="K415" s="35"/>
      <c r="L415" s="35"/>
    </row>
    <row r="416" spans="8:12" ht="15">
      <c r="H416" s="34"/>
      <c r="K416" s="35"/>
      <c r="L416" s="35"/>
    </row>
    <row r="417" spans="8:12" ht="15">
      <c r="H417" s="34"/>
      <c r="K417" s="35"/>
      <c r="L417" s="35"/>
    </row>
    <row r="418" spans="8:12" ht="15">
      <c r="H418" s="34"/>
      <c r="K418" s="35"/>
      <c r="L418" s="35"/>
    </row>
    <row r="419" spans="8:12" ht="15">
      <c r="H419" s="34"/>
      <c r="K419" s="35"/>
      <c r="L419" s="35"/>
    </row>
    <row r="420" spans="8:12" ht="15">
      <c r="H420" s="34"/>
      <c r="K420" s="35"/>
      <c r="L420" s="35"/>
    </row>
    <row r="421" spans="8:12" ht="15">
      <c r="H421" s="34"/>
      <c r="K421" s="35"/>
      <c r="L421" s="35"/>
    </row>
    <row r="422" spans="8:12" ht="15">
      <c r="H422" s="34"/>
      <c r="K422" s="35"/>
      <c r="L422" s="35"/>
    </row>
    <row r="423" spans="8:12" ht="15">
      <c r="H423" s="34"/>
      <c r="K423" s="35"/>
      <c r="L423" s="35"/>
    </row>
    <row r="424" spans="8:12" ht="15">
      <c r="H424" s="34"/>
      <c r="K424" s="35"/>
      <c r="L424" s="35"/>
    </row>
    <row r="425" spans="8:12" ht="15">
      <c r="H425" s="34"/>
      <c r="K425" s="35"/>
      <c r="L425" s="35"/>
    </row>
    <row r="426" spans="8:12" ht="15">
      <c r="H426" s="34"/>
      <c r="K426" s="35"/>
      <c r="L426" s="35"/>
    </row>
    <row r="427" spans="8:12" ht="15">
      <c r="H427" s="34"/>
      <c r="K427" s="35"/>
      <c r="L427" s="35"/>
    </row>
    <row r="428" spans="8:12" ht="15">
      <c r="H428" s="34"/>
      <c r="K428" s="35"/>
      <c r="L428" s="35"/>
    </row>
    <row r="429" spans="8:12" ht="15">
      <c r="H429" s="34"/>
      <c r="K429" s="35"/>
      <c r="L429" s="35"/>
    </row>
    <row r="430" spans="8:12" ht="15">
      <c r="H430" s="34"/>
      <c r="K430" s="35"/>
      <c r="L430" s="35"/>
    </row>
    <row r="431" spans="8:12" ht="15">
      <c r="H431" s="34"/>
      <c r="K431" s="35"/>
      <c r="L431" s="35"/>
    </row>
    <row r="432" spans="8:12" ht="15">
      <c r="H432" s="34"/>
      <c r="K432" s="35"/>
      <c r="L432" s="35"/>
    </row>
    <row r="433" spans="8:12" ht="15">
      <c r="H433" s="34"/>
      <c r="K433" s="35"/>
      <c r="L433" s="35"/>
    </row>
    <row r="434" spans="8:12" ht="15">
      <c r="H434" s="34"/>
      <c r="K434" s="35"/>
      <c r="L434" s="35"/>
    </row>
    <row r="435" spans="8:12" ht="15">
      <c r="H435" s="34"/>
      <c r="K435" s="35"/>
      <c r="L435" s="35"/>
    </row>
    <row r="436" spans="8:12" ht="15">
      <c r="H436" s="34"/>
      <c r="K436" s="35"/>
      <c r="L436" s="35"/>
    </row>
    <row r="437" spans="8:12" ht="15">
      <c r="H437" s="34"/>
      <c r="K437" s="35"/>
      <c r="L437" s="35"/>
    </row>
    <row r="438" spans="8:12" ht="15">
      <c r="H438" s="34"/>
      <c r="K438" s="35"/>
      <c r="L438" s="35"/>
    </row>
    <row r="439" spans="8:12" ht="15">
      <c r="H439" s="34"/>
      <c r="K439" s="35"/>
      <c r="L439" s="35"/>
    </row>
    <row r="440" spans="8:12" ht="15">
      <c r="H440" s="34"/>
      <c r="K440" s="35"/>
      <c r="L440" s="35"/>
    </row>
    <row r="441" spans="8:12" ht="15">
      <c r="H441" s="34"/>
      <c r="K441" s="35"/>
      <c r="L441" s="35"/>
    </row>
    <row r="442" spans="8:12" ht="15">
      <c r="H442" s="34"/>
      <c r="K442" s="35"/>
      <c r="L442" s="35"/>
    </row>
    <row r="443" spans="8:12" ht="15">
      <c r="H443" s="34"/>
      <c r="K443" s="35"/>
      <c r="L443" s="35"/>
    </row>
    <row r="444" spans="8:12" ht="15">
      <c r="H444" s="34"/>
      <c r="K444" s="35"/>
      <c r="L444" s="35"/>
    </row>
    <row r="445" spans="8:12" ht="15">
      <c r="H445" s="34"/>
      <c r="K445" s="35"/>
      <c r="L445" s="35"/>
    </row>
    <row r="446" spans="8:12" ht="15">
      <c r="H446" s="34"/>
      <c r="K446" s="35"/>
      <c r="L446" s="35"/>
    </row>
    <row r="447" spans="8:12" ht="15">
      <c r="H447" s="34"/>
      <c r="K447" s="35"/>
      <c r="L447" s="35"/>
    </row>
    <row r="448" spans="8:12" ht="15">
      <c r="H448" s="34"/>
      <c r="K448" s="35"/>
      <c r="L448" s="35"/>
    </row>
    <row r="449" spans="8:12" ht="15">
      <c r="H449" s="34"/>
      <c r="K449" s="35"/>
      <c r="L449" s="35"/>
    </row>
    <row r="450" spans="8:12" ht="15">
      <c r="H450" s="34"/>
      <c r="K450" s="35"/>
      <c r="L450" s="35"/>
    </row>
    <row r="451" spans="8:12" ht="15">
      <c r="H451" s="34"/>
      <c r="K451" s="35"/>
      <c r="L451" s="35"/>
    </row>
    <row r="452" spans="8:12" ht="15">
      <c r="H452" s="34"/>
      <c r="K452" s="35"/>
      <c r="L452" s="35"/>
    </row>
    <row r="453" spans="8:12" ht="15">
      <c r="H453" s="34"/>
      <c r="K453" s="35"/>
      <c r="L453" s="35"/>
    </row>
    <row r="454" spans="8:12" ht="15">
      <c r="H454" s="34"/>
      <c r="K454" s="35"/>
      <c r="L454" s="35"/>
    </row>
    <row r="455" spans="8:12" ht="15">
      <c r="H455" s="34"/>
      <c r="K455" s="35"/>
      <c r="L455" s="35"/>
    </row>
    <row r="456" spans="8:12" ht="15">
      <c r="H456" s="34"/>
      <c r="K456" s="35"/>
      <c r="L456" s="35"/>
    </row>
    <row r="457" spans="8:12" ht="15">
      <c r="H457" s="34"/>
      <c r="K457" s="35"/>
      <c r="L457" s="35"/>
    </row>
    <row r="458" spans="8:12" ht="15">
      <c r="H458" s="34"/>
      <c r="K458" s="35"/>
      <c r="L458" s="35"/>
    </row>
    <row r="459" spans="8:12" ht="15">
      <c r="H459" s="34"/>
      <c r="K459" s="35"/>
      <c r="L459" s="35"/>
    </row>
    <row r="460" spans="8:12" ht="15">
      <c r="H460" s="34"/>
      <c r="K460" s="35"/>
      <c r="L460" s="35"/>
    </row>
    <row r="461" spans="8:12" ht="15">
      <c r="H461" s="34"/>
      <c r="K461" s="35"/>
      <c r="L461" s="35"/>
    </row>
    <row r="462" spans="8:12" ht="15">
      <c r="H462" s="34"/>
      <c r="K462" s="35"/>
      <c r="L462" s="35"/>
    </row>
    <row r="463" spans="8:12" ht="15">
      <c r="H463" s="34"/>
      <c r="K463" s="35"/>
      <c r="L463" s="35"/>
    </row>
    <row r="464" spans="8:12" ht="15">
      <c r="H464" s="34"/>
      <c r="K464" s="35"/>
      <c r="L464" s="35"/>
    </row>
    <row r="465" spans="8:12" ht="15">
      <c r="H465" s="34"/>
      <c r="K465" s="35"/>
      <c r="L465" s="35"/>
    </row>
    <row r="466" spans="8:12" ht="15">
      <c r="H466" s="34"/>
      <c r="K466" s="35"/>
      <c r="L466" s="35"/>
    </row>
    <row r="467" spans="8:12" ht="15">
      <c r="H467" s="34"/>
      <c r="K467" s="35"/>
      <c r="L467" s="35"/>
    </row>
    <row r="468" spans="8:12" ht="15">
      <c r="H468" s="34"/>
      <c r="K468" s="35"/>
      <c r="L468" s="35"/>
    </row>
    <row r="469" spans="8:12" ht="15">
      <c r="H469" s="34"/>
      <c r="K469" s="35"/>
      <c r="L469" s="35"/>
    </row>
    <row r="470" spans="8:12" ht="15">
      <c r="H470" s="34"/>
      <c r="K470" s="35"/>
      <c r="L470" s="35"/>
    </row>
    <row r="471" spans="8:12" ht="15">
      <c r="H471" s="34"/>
      <c r="K471" s="35"/>
      <c r="L471" s="35"/>
    </row>
    <row r="472" spans="8:12" ht="15">
      <c r="H472" s="34"/>
      <c r="K472" s="35"/>
      <c r="L472" s="35"/>
    </row>
    <row r="473" spans="8:12" ht="15">
      <c r="H473" s="34"/>
      <c r="K473" s="35"/>
      <c r="L473" s="35"/>
    </row>
    <row r="474" spans="8:12" ht="15">
      <c r="H474" s="34"/>
      <c r="K474" s="35"/>
      <c r="L474" s="35"/>
    </row>
    <row r="475" spans="8:12" ht="15">
      <c r="H475" s="34"/>
      <c r="K475" s="35"/>
      <c r="L475" s="35"/>
    </row>
    <row r="476" spans="8:12" ht="15">
      <c r="H476" s="34"/>
      <c r="K476" s="35"/>
      <c r="L476" s="35"/>
    </row>
    <row r="477" spans="8:12" ht="15">
      <c r="H477" s="34"/>
      <c r="K477" s="35"/>
      <c r="L477" s="35"/>
    </row>
    <row r="478" spans="8:12" ht="15">
      <c r="H478" s="34"/>
      <c r="K478" s="35"/>
      <c r="L478" s="35"/>
    </row>
    <row r="479" spans="8:12" ht="15">
      <c r="H479" s="34"/>
      <c r="K479" s="35"/>
      <c r="L479" s="35"/>
    </row>
    <row r="480" spans="8:12" ht="15">
      <c r="H480" s="34"/>
      <c r="K480" s="35"/>
      <c r="L480" s="35"/>
    </row>
    <row r="481" spans="8:12" ht="15">
      <c r="H481" s="34"/>
      <c r="K481" s="35"/>
      <c r="L481" s="35"/>
    </row>
    <row r="482" spans="8:12" ht="15">
      <c r="H482" s="34"/>
      <c r="K482" s="35"/>
      <c r="L482" s="35"/>
    </row>
    <row r="483" spans="8:12" ht="15">
      <c r="H483" s="34"/>
      <c r="K483" s="35"/>
      <c r="L483" s="35"/>
    </row>
    <row r="484" spans="8:12" ht="15">
      <c r="H484" s="34"/>
      <c r="K484" s="35"/>
      <c r="L484" s="35"/>
    </row>
    <row r="485" spans="8:12" ht="15">
      <c r="H485" s="34"/>
      <c r="K485" s="35"/>
      <c r="L485" s="35"/>
    </row>
    <row r="486" spans="8:12" ht="15">
      <c r="H486" s="34"/>
      <c r="K486" s="35"/>
      <c r="L486" s="35"/>
    </row>
    <row r="487" spans="8:12" ht="15">
      <c r="H487" s="34"/>
      <c r="K487" s="35"/>
      <c r="L487" s="35"/>
    </row>
    <row r="488" spans="8:12" ht="15">
      <c r="H488" s="34"/>
      <c r="K488" s="35"/>
      <c r="L488" s="35"/>
    </row>
    <row r="489" spans="8:12" ht="15">
      <c r="H489" s="34"/>
      <c r="K489" s="35"/>
      <c r="L489" s="35"/>
    </row>
    <row r="490" spans="8:12" ht="15">
      <c r="H490" s="34"/>
      <c r="K490" s="35"/>
      <c r="L490" s="35"/>
    </row>
    <row r="491" spans="8:12" ht="15">
      <c r="H491" s="34"/>
      <c r="K491" s="35"/>
      <c r="L491" s="35"/>
    </row>
    <row r="492" spans="8:12" ht="15">
      <c r="H492" s="34"/>
      <c r="K492" s="35"/>
      <c r="L492" s="35"/>
    </row>
    <row r="493" spans="8:12" ht="15">
      <c r="H493" s="34"/>
      <c r="K493" s="35"/>
      <c r="L493" s="35"/>
    </row>
    <row r="494" spans="8:12" ht="15">
      <c r="H494" s="34"/>
      <c r="K494" s="35"/>
      <c r="L494" s="35"/>
    </row>
    <row r="495" spans="8:12" ht="15">
      <c r="H495" s="34"/>
      <c r="K495" s="35"/>
      <c r="L495" s="35"/>
    </row>
    <row r="496" spans="8:12" ht="15">
      <c r="H496" s="34"/>
      <c r="K496" s="35"/>
      <c r="L496" s="35"/>
    </row>
    <row r="497" spans="8:12" ht="15">
      <c r="H497" s="34"/>
      <c r="K497" s="35"/>
      <c r="L497" s="35"/>
    </row>
    <row r="498" spans="8:12" ht="15">
      <c r="H498" s="34"/>
      <c r="K498" s="35"/>
      <c r="L498" s="35"/>
    </row>
    <row r="499" spans="8:12" ht="15">
      <c r="H499" s="34"/>
      <c r="K499" s="35"/>
      <c r="L499" s="35"/>
    </row>
    <row r="500" spans="8:12" ht="15">
      <c r="H500" s="34"/>
      <c r="K500" s="35"/>
      <c r="L500" s="35"/>
    </row>
    <row r="501" spans="8:12" ht="15">
      <c r="H501" s="34"/>
      <c r="K501" s="35"/>
      <c r="L501" s="35"/>
    </row>
    <row r="502" spans="8:12" ht="15">
      <c r="H502" s="34"/>
      <c r="K502" s="35"/>
      <c r="L502" s="35"/>
    </row>
    <row r="503" spans="8:12" ht="15">
      <c r="H503" s="34"/>
      <c r="K503" s="35"/>
      <c r="L503" s="35"/>
    </row>
    <row r="504" spans="8:12" ht="15">
      <c r="H504" s="34"/>
      <c r="K504" s="35"/>
      <c r="L504" s="35"/>
    </row>
    <row r="505" spans="8:12" ht="15">
      <c r="H505" s="34"/>
      <c r="K505" s="35"/>
      <c r="L505" s="35"/>
    </row>
    <row r="506" spans="8:12" ht="15">
      <c r="H506" s="34"/>
      <c r="K506" s="35"/>
      <c r="L506" s="35"/>
    </row>
    <row r="507" spans="8:12" ht="15">
      <c r="H507" s="34"/>
      <c r="K507" s="35"/>
      <c r="L507" s="35"/>
    </row>
    <row r="508" spans="8:12" ht="15">
      <c r="H508" s="34"/>
      <c r="K508" s="35"/>
      <c r="L508" s="35"/>
    </row>
    <row r="509" spans="8:12" ht="15">
      <c r="H509" s="34"/>
      <c r="K509" s="35"/>
      <c r="L509" s="35"/>
    </row>
    <row r="510" spans="8:12" ht="15">
      <c r="H510" s="34"/>
      <c r="K510" s="35"/>
      <c r="L510" s="35"/>
    </row>
    <row r="511" spans="8:12" ht="15">
      <c r="H511" s="34"/>
      <c r="K511" s="35"/>
      <c r="L511" s="35"/>
    </row>
    <row r="512" spans="8:12" ht="15">
      <c r="H512" s="34"/>
      <c r="K512" s="35"/>
      <c r="L512" s="35"/>
    </row>
    <row r="513" spans="8:12" ht="15">
      <c r="H513" s="34"/>
      <c r="K513" s="35"/>
      <c r="L513" s="35"/>
    </row>
    <row r="514" spans="8:12" ht="15">
      <c r="H514" s="34"/>
      <c r="K514" s="35"/>
      <c r="L514" s="35"/>
    </row>
    <row r="515" spans="8:12" ht="15">
      <c r="H515" s="34"/>
      <c r="K515" s="35"/>
      <c r="L515" s="35"/>
    </row>
    <row r="516" spans="8:12" ht="15">
      <c r="H516" s="34"/>
      <c r="K516" s="35"/>
      <c r="L516" s="35"/>
    </row>
    <row r="517" spans="8:12" ht="15">
      <c r="H517" s="34"/>
      <c r="K517" s="35"/>
      <c r="L517" s="35"/>
    </row>
    <row r="518" spans="8:12" ht="15">
      <c r="H518" s="34"/>
      <c r="K518" s="35"/>
      <c r="L518" s="35"/>
    </row>
    <row r="519" spans="8:12" ht="15">
      <c r="H519" s="34"/>
      <c r="K519" s="35"/>
      <c r="L519" s="35"/>
    </row>
    <row r="520" spans="8:12" ht="15">
      <c r="H520" s="34"/>
      <c r="K520" s="35"/>
      <c r="L520" s="35"/>
    </row>
    <row r="521" spans="8:12" ht="15">
      <c r="H521" s="34"/>
      <c r="K521" s="35"/>
      <c r="L521" s="35"/>
    </row>
    <row r="522" spans="8:12" ht="15">
      <c r="H522" s="34"/>
      <c r="K522" s="35"/>
      <c r="L522" s="35"/>
    </row>
    <row r="523" spans="8:12" ht="15">
      <c r="H523" s="34"/>
      <c r="K523" s="35"/>
      <c r="L523" s="35"/>
    </row>
    <row r="524" spans="8:12" ht="15">
      <c r="H524" s="34"/>
      <c r="K524" s="35"/>
      <c r="L524" s="35"/>
    </row>
    <row r="525" spans="8:12" ht="15">
      <c r="H525" s="34"/>
      <c r="K525" s="35"/>
      <c r="L525" s="35"/>
    </row>
    <row r="526" spans="8:12" ht="15">
      <c r="H526" s="34"/>
      <c r="K526" s="35"/>
      <c r="L526" s="35"/>
    </row>
    <row r="527" spans="8:12" ht="15">
      <c r="H527" s="34"/>
      <c r="K527" s="35"/>
      <c r="L527" s="35"/>
    </row>
    <row r="528" spans="8:12" ht="15">
      <c r="H528" s="34"/>
      <c r="K528" s="35"/>
      <c r="L528" s="35"/>
    </row>
    <row r="529" spans="8:12" ht="15">
      <c r="H529" s="34"/>
      <c r="K529" s="35"/>
      <c r="L529" s="35"/>
    </row>
    <row r="530" spans="8:12" ht="15">
      <c r="H530" s="34"/>
      <c r="K530" s="35"/>
      <c r="L530" s="35"/>
    </row>
    <row r="531" spans="8:12" ht="15">
      <c r="H531" s="34"/>
      <c r="K531" s="35"/>
      <c r="L531" s="35"/>
    </row>
    <row r="532" spans="8:12" ht="15">
      <c r="H532" s="34"/>
      <c r="K532" s="35"/>
      <c r="L532" s="35"/>
    </row>
    <row r="533" spans="8:12" ht="15">
      <c r="H533" s="34"/>
      <c r="K533" s="35"/>
      <c r="L533" s="35"/>
    </row>
    <row r="534" spans="8:12" ht="15">
      <c r="H534" s="34"/>
      <c r="K534" s="35"/>
      <c r="L534" s="35"/>
    </row>
    <row r="535" spans="8:12" ht="15">
      <c r="H535" s="34"/>
      <c r="K535" s="35"/>
      <c r="L535" s="35"/>
    </row>
    <row r="536" spans="8:12" ht="15">
      <c r="H536" s="34"/>
      <c r="K536" s="35"/>
      <c r="L536" s="35"/>
    </row>
    <row r="537" spans="8:12" ht="15">
      <c r="H537" s="34"/>
      <c r="K537" s="35"/>
      <c r="L537" s="35"/>
    </row>
    <row r="538" spans="8:12" ht="15">
      <c r="H538" s="34"/>
      <c r="K538" s="35"/>
      <c r="L538" s="35"/>
    </row>
    <row r="539" spans="8:12" ht="15">
      <c r="H539" s="34"/>
      <c r="K539" s="35"/>
      <c r="L539" s="35"/>
    </row>
    <row r="540" spans="8:12" ht="15">
      <c r="H540" s="34"/>
      <c r="K540" s="35"/>
      <c r="L540" s="35"/>
    </row>
    <row r="541" spans="8:12" ht="15">
      <c r="H541" s="34"/>
      <c r="K541" s="35"/>
      <c r="L541" s="35"/>
    </row>
    <row r="542" spans="8:12" ht="15">
      <c r="H542" s="34"/>
      <c r="K542" s="35"/>
      <c r="L542" s="35"/>
    </row>
    <row r="543" spans="8:12" ht="15">
      <c r="H543" s="34"/>
      <c r="K543" s="35"/>
      <c r="L543" s="35"/>
    </row>
    <row r="544" spans="8:12" ht="15">
      <c r="H544" s="34"/>
      <c r="K544" s="35"/>
      <c r="L544" s="35"/>
    </row>
    <row r="545" spans="8:12" ht="15">
      <c r="H545" s="34"/>
      <c r="K545" s="35"/>
      <c r="L545" s="35"/>
    </row>
    <row r="546" spans="8:12" ht="15">
      <c r="H546" s="34"/>
      <c r="K546" s="35"/>
      <c r="L546" s="35"/>
    </row>
    <row r="547" spans="8:12" ht="15">
      <c r="H547" s="34"/>
      <c r="K547" s="35"/>
      <c r="L547" s="35"/>
    </row>
    <row r="548" spans="8:12" ht="15">
      <c r="H548" s="34"/>
      <c r="K548" s="35"/>
      <c r="L548" s="35"/>
    </row>
    <row r="549" spans="8:12" ht="15">
      <c r="H549" s="34"/>
      <c r="K549" s="35"/>
      <c r="L549" s="35"/>
    </row>
    <row r="550" spans="8:12" ht="15">
      <c r="H550" s="34"/>
      <c r="K550" s="35"/>
      <c r="L550" s="35"/>
    </row>
    <row r="551" spans="8:12" ht="15">
      <c r="H551" s="34"/>
      <c r="K551" s="35"/>
      <c r="L551" s="35"/>
    </row>
    <row r="552" spans="8:12" ht="15">
      <c r="H552" s="34"/>
      <c r="K552" s="35"/>
      <c r="L552" s="35"/>
    </row>
    <row r="553" spans="8:12" ht="15">
      <c r="H553" s="34"/>
      <c r="K553" s="35"/>
      <c r="L553" s="35"/>
    </row>
    <row r="554" spans="8:12" ht="15">
      <c r="H554" s="34"/>
      <c r="K554" s="35"/>
      <c r="L554" s="35"/>
    </row>
    <row r="555" spans="8:12" ht="15">
      <c r="H555" s="34"/>
      <c r="K555" s="35"/>
      <c r="L555" s="35"/>
    </row>
    <row r="556" spans="8:12" ht="15">
      <c r="H556" s="34"/>
      <c r="K556" s="35"/>
      <c r="L556" s="35"/>
    </row>
    <row r="557" spans="8:12" ht="15">
      <c r="H557" s="34"/>
      <c r="K557" s="35"/>
      <c r="L557" s="35"/>
    </row>
    <row r="558" spans="8:12" ht="15">
      <c r="H558" s="34"/>
      <c r="K558" s="35"/>
      <c r="L558" s="35"/>
    </row>
    <row r="559" spans="8:12" ht="15">
      <c r="H559" s="34"/>
      <c r="K559" s="35"/>
      <c r="L559" s="35"/>
    </row>
    <row r="560" spans="8:12" ht="15">
      <c r="H560" s="34"/>
      <c r="K560" s="35"/>
      <c r="L560" s="35"/>
    </row>
    <row r="561" spans="8:12" ht="15">
      <c r="H561" s="34"/>
      <c r="K561" s="35"/>
      <c r="L561" s="35"/>
    </row>
    <row r="562" spans="8:12" ht="15">
      <c r="H562" s="34"/>
      <c r="K562" s="35"/>
      <c r="L562" s="35"/>
    </row>
    <row r="563" spans="8:12" ht="15">
      <c r="H563" s="34"/>
      <c r="K563" s="35"/>
      <c r="L563" s="35"/>
    </row>
    <row r="564" spans="8:12" ht="15">
      <c r="H564" s="34"/>
      <c r="K564" s="35"/>
      <c r="L564" s="35"/>
    </row>
    <row r="565" spans="8:12" ht="15">
      <c r="H565" s="34"/>
      <c r="K565" s="35"/>
      <c r="L565" s="35"/>
    </row>
    <row r="566" spans="8:12" ht="15">
      <c r="H566" s="34"/>
      <c r="K566" s="35"/>
      <c r="L566" s="35"/>
    </row>
    <row r="567" spans="8:12" ht="15">
      <c r="H567" s="34"/>
      <c r="K567" s="35"/>
      <c r="L567" s="35"/>
    </row>
    <row r="568" spans="8:12" ht="15">
      <c r="H568" s="34"/>
      <c r="K568" s="35"/>
      <c r="L568" s="35"/>
    </row>
    <row r="569" spans="8:12" ht="15">
      <c r="H569" s="34"/>
      <c r="K569" s="35"/>
      <c r="L569" s="35"/>
    </row>
    <row r="570" spans="8:12" ht="15">
      <c r="H570" s="34"/>
      <c r="K570" s="35"/>
      <c r="L570" s="35"/>
    </row>
    <row r="571" spans="8:12" ht="15">
      <c r="H571" s="34"/>
      <c r="K571" s="35"/>
      <c r="L571" s="35"/>
    </row>
    <row r="572" spans="8:12" ht="15">
      <c r="H572" s="34"/>
      <c r="K572" s="35"/>
      <c r="L572" s="35"/>
    </row>
    <row r="573" spans="8:12" ht="15">
      <c r="H573" s="34"/>
      <c r="K573" s="35"/>
      <c r="L573" s="35"/>
    </row>
    <row r="574" spans="8:12" ht="15">
      <c r="H574" s="34"/>
      <c r="K574" s="35"/>
      <c r="L574" s="35"/>
    </row>
    <row r="575" spans="8:12" ht="15">
      <c r="H575" s="34"/>
      <c r="K575" s="35"/>
      <c r="L575" s="35"/>
    </row>
    <row r="576" spans="8:12" ht="15">
      <c r="H576" s="34"/>
      <c r="K576" s="35"/>
      <c r="L576" s="35"/>
    </row>
    <row r="577" spans="8:12" ht="15">
      <c r="H577" s="34"/>
      <c r="K577" s="35"/>
      <c r="L577" s="35"/>
    </row>
    <row r="578" spans="8:12" ht="15">
      <c r="H578" s="34"/>
      <c r="K578" s="35"/>
      <c r="L578" s="35"/>
    </row>
    <row r="579" spans="8:12" ht="15">
      <c r="H579" s="34"/>
      <c r="K579" s="35"/>
      <c r="L579" s="35"/>
    </row>
    <row r="580" spans="8:12" ht="15">
      <c r="H580" s="34"/>
      <c r="K580" s="35"/>
      <c r="L580" s="35"/>
    </row>
    <row r="581" spans="8:12" ht="15">
      <c r="H581" s="34"/>
      <c r="K581" s="35"/>
      <c r="L581" s="35"/>
    </row>
    <row r="582" spans="8:12" ht="15">
      <c r="H582" s="34"/>
      <c r="K582" s="35"/>
      <c r="L582" s="35"/>
    </row>
    <row r="583" spans="8:12" ht="15">
      <c r="H583" s="34"/>
      <c r="K583" s="35"/>
      <c r="L583" s="35"/>
    </row>
    <row r="584" spans="8:12" ht="15">
      <c r="H584" s="34"/>
      <c r="K584" s="35"/>
      <c r="L584" s="35"/>
    </row>
    <row r="585" spans="8:12" ht="15">
      <c r="H585" s="34"/>
      <c r="K585" s="35"/>
      <c r="L585" s="35"/>
    </row>
    <row r="586" spans="8:12" ht="15">
      <c r="H586" s="34"/>
      <c r="K586" s="35"/>
      <c r="L586" s="35"/>
    </row>
    <row r="587" spans="8:12" ht="15">
      <c r="H587" s="34"/>
      <c r="K587" s="35"/>
      <c r="L587" s="35"/>
    </row>
    <row r="588" spans="8:12" ht="15">
      <c r="H588" s="34"/>
      <c r="K588" s="35"/>
      <c r="L588" s="35"/>
    </row>
    <row r="589" spans="8:12" ht="15">
      <c r="H589" s="34"/>
      <c r="K589" s="35"/>
      <c r="L589" s="35"/>
    </row>
    <row r="590" spans="8:12" ht="15">
      <c r="H590" s="34"/>
      <c r="K590" s="35"/>
      <c r="L590" s="35"/>
    </row>
    <row r="591" spans="8:12" ht="15">
      <c r="H591" s="34"/>
      <c r="K591" s="35"/>
      <c r="L591" s="35"/>
    </row>
    <row r="592" spans="8:12" ht="15">
      <c r="H592" s="34"/>
      <c r="K592" s="35"/>
      <c r="L592" s="35"/>
    </row>
    <row r="593" spans="8:12" ht="15">
      <c r="H593" s="34"/>
      <c r="K593" s="35"/>
      <c r="L593" s="35"/>
    </row>
    <row r="594" spans="8:12" ht="15">
      <c r="H594" s="34"/>
      <c r="K594" s="35"/>
      <c r="L594" s="35"/>
    </row>
    <row r="595" spans="8:12" ht="15">
      <c r="H595" s="34"/>
      <c r="K595" s="35"/>
      <c r="L595" s="35"/>
    </row>
    <row r="596" spans="8:12" ht="15">
      <c r="H596" s="34"/>
      <c r="K596" s="35"/>
      <c r="L596" s="35"/>
    </row>
    <row r="597" spans="8:12" ht="15">
      <c r="H597" s="34"/>
      <c r="K597" s="35"/>
      <c r="L597" s="35"/>
    </row>
    <row r="598" spans="8:12" ht="15">
      <c r="H598" s="34"/>
      <c r="K598" s="35"/>
      <c r="L598" s="35"/>
    </row>
    <row r="599" spans="8:12" ht="15">
      <c r="H599" s="34"/>
      <c r="K599" s="35"/>
      <c r="L599" s="35"/>
    </row>
    <row r="600" spans="8:12" ht="15">
      <c r="H600" s="34"/>
      <c r="K600" s="35"/>
      <c r="L600" s="35"/>
    </row>
    <row r="601" spans="8:12" ht="15">
      <c r="H601" s="34"/>
      <c r="K601" s="35"/>
      <c r="L601" s="35"/>
    </row>
    <row r="602" spans="8:12" ht="15">
      <c r="H602" s="34"/>
      <c r="K602" s="35"/>
      <c r="L602" s="35"/>
    </row>
    <row r="603" spans="8:12" ht="15">
      <c r="H603" s="34"/>
      <c r="K603" s="35"/>
      <c r="L603" s="35"/>
    </row>
    <row r="604" spans="8:12" ht="15">
      <c r="H604" s="34"/>
      <c r="K604" s="35"/>
      <c r="L604" s="35"/>
    </row>
    <row r="605" spans="8:12" ht="15">
      <c r="H605" s="34"/>
      <c r="K605" s="35"/>
      <c r="L605" s="35"/>
    </row>
    <row r="606" spans="8:12" ht="15">
      <c r="H606" s="34"/>
      <c r="K606" s="35"/>
      <c r="L606" s="35"/>
    </row>
    <row r="607" spans="8:12" ht="15">
      <c r="H607" s="34"/>
      <c r="K607" s="35"/>
      <c r="L607" s="35"/>
    </row>
    <row r="608" spans="8:12" ht="15">
      <c r="H608" s="34"/>
      <c r="K608" s="35"/>
      <c r="L608" s="35"/>
    </row>
    <row r="609" spans="8:12" ht="15">
      <c r="H609" s="34"/>
      <c r="K609" s="35"/>
      <c r="L609" s="35"/>
    </row>
    <row r="610" spans="8:12" ht="15">
      <c r="H610" s="34"/>
      <c r="K610" s="35"/>
      <c r="L610" s="35"/>
    </row>
    <row r="611" spans="8:12" ht="15">
      <c r="H611" s="34"/>
      <c r="K611" s="35"/>
      <c r="L611" s="35"/>
    </row>
    <row r="612" spans="8:12" ht="15">
      <c r="H612" s="34"/>
      <c r="K612" s="35"/>
      <c r="L612" s="35"/>
    </row>
    <row r="613" spans="8:12" ht="15">
      <c r="H613" s="34"/>
      <c r="K613" s="35"/>
      <c r="L613" s="35"/>
    </row>
    <row r="614" spans="8:12" ht="15">
      <c r="H614" s="34"/>
      <c r="K614" s="35"/>
      <c r="L614" s="35"/>
    </row>
    <row r="615" spans="8:12" ht="15">
      <c r="H615" s="34"/>
      <c r="K615" s="35"/>
      <c r="L615" s="35"/>
    </row>
    <row r="616" spans="8:12" ht="15">
      <c r="H616" s="34"/>
      <c r="K616" s="35"/>
      <c r="L616" s="35"/>
    </row>
    <row r="617" spans="8:12" ht="15">
      <c r="H617" s="34"/>
      <c r="K617" s="35"/>
      <c r="L617" s="35"/>
    </row>
    <row r="618" spans="8:12" ht="15">
      <c r="H618" s="34"/>
      <c r="K618" s="35"/>
      <c r="L618" s="35"/>
    </row>
    <row r="619" spans="8:12" ht="15">
      <c r="H619" s="34"/>
      <c r="K619" s="35"/>
      <c r="L619" s="35"/>
    </row>
    <row r="620" spans="8:12" ht="15">
      <c r="H620" s="34"/>
      <c r="K620" s="35"/>
      <c r="L620" s="35"/>
    </row>
    <row r="621" spans="8:12" ht="15">
      <c r="H621" s="34"/>
      <c r="K621" s="35"/>
      <c r="L621" s="35"/>
    </row>
    <row r="622" spans="8:12" ht="15">
      <c r="H622" s="34"/>
      <c r="K622" s="35"/>
      <c r="L622" s="35"/>
    </row>
    <row r="623" spans="8:12" ht="15">
      <c r="H623" s="34"/>
      <c r="K623" s="35"/>
      <c r="L623" s="35"/>
    </row>
    <row r="624" spans="8:12" ht="15">
      <c r="H624" s="34"/>
      <c r="K624" s="35"/>
      <c r="L624" s="35"/>
    </row>
    <row r="625" spans="8:12" ht="15">
      <c r="H625" s="34"/>
      <c r="K625" s="35"/>
      <c r="L625" s="35"/>
    </row>
    <row r="626" spans="8:12" ht="15">
      <c r="H626" s="34"/>
      <c r="K626" s="35"/>
      <c r="L626" s="35"/>
    </row>
    <row r="627" spans="8:12" ht="15">
      <c r="H627" s="34"/>
      <c r="K627" s="35"/>
      <c r="L627" s="35"/>
    </row>
    <row r="628" spans="8:12" ht="15">
      <c r="H628" s="34"/>
      <c r="K628" s="35"/>
      <c r="L628" s="35"/>
    </row>
    <row r="629" spans="8:12" ht="15">
      <c r="H629" s="34"/>
      <c r="K629" s="35"/>
      <c r="L629" s="35"/>
    </row>
    <row r="630" spans="8:12" ht="15">
      <c r="H630" s="34"/>
      <c r="K630" s="35"/>
      <c r="L630" s="35"/>
    </row>
    <row r="631" spans="8:12" ht="15">
      <c r="H631" s="34"/>
      <c r="K631" s="35"/>
      <c r="L631" s="35"/>
    </row>
    <row r="632" spans="8:12" ht="15">
      <c r="H632" s="34"/>
      <c r="K632" s="35"/>
      <c r="L632" s="35"/>
    </row>
    <row r="633" spans="8:12" ht="15">
      <c r="H633" s="34"/>
      <c r="K633" s="35"/>
      <c r="L633" s="35"/>
    </row>
    <row r="634" spans="8:12" ht="15">
      <c r="H634" s="34"/>
      <c r="K634" s="35"/>
      <c r="L634" s="35"/>
    </row>
    <row r="635" spans="8:12" ht="15">
      <c r="H635" s="34"/>
      <c r="K635" s="35"/>
      <c r="L635" s="35"/>
    </row>
    <row r="636" spans="8:12" ht="15">
      <c r="H636" s="34"/>
      <c r="K636" s="35"/>
      <c r="L636" s="35"/>
    </row>
    <row r="637" spans="8:12" ht="15">
      <c r="H637" s="34"/>
      <c r="K637" s="35"/>
      <c r="L637" s="35"/>
    </row>
    <row r="638" spans="8:12" ht="15">
      <c r="H638" s="34"/>
      <c r="K638" s="35"/>
      <c r="L638" s="35"/>
    </row>
    <row r="639" spans="8:12" ht="15">
      <c r="H639" s="34"/>
      <c r="K639" s="35"/>
      <c r="L639" s="35"/>
    </row>
    <row r="640" spans="8:12" ht="15">
      <c r="H640" s="34"/>
      <c r="K640" s="35"/>
      <c r="L640" s="35"/>
    </row>
    <row r="641" spans="8:12" ht="15">
      <c r="H641" s="34"/>
      <c r="K641" s="35"/>
      <c r="L641" s="35"/>
    </row>
    <row r="642" spans="8:12" ht="15">
      <c r="H642" s="34"/>
      <c r="K642" s="35"/>
      <c r="L642" s="35"/>
    </row>
    <row r="643" spans="8:12" ht="15">
      <c r="H643" s="34"/>
      <c r="K643" s="35"/>
      <c r="L643" s="35"/>
    </row>
    <row r="644" spans="8:12" ht="15">
      <c r="H644" s="34"/>
      <c r="K644" s="35"/>
      <c r="L644" s="35"/>
    </row>
    <row r="645" spans="8:12" ht="15">
      <c r="H645" s="34"/>
      <c r="K645" s="35"/>
      <c r="L645" s="35"/>
    </row>
    <row r="646" spans="8:12" ht="15">
      <c r="H646" s="34"/>
      <c r="K646" s="35"/>
      <c r="L646" s="35"/>
    </row>
    <row r="647" spans="8:12" ht="15">
      <c r="H647" s="34"/>
      <c r="K647" s="35"/>
      <c r="L647" s="35"/>
    </row>
    <row r="648" spans="8:12" ht="15">
      <c r="H648" s="34"/>
      <c r="K648" s="35"/>
      <c r="L648" s="35"/>
    </row>
    <row r="649" spans="8:12" ht="15">
      <c r="H649" s="34"/>
      <c r="K649" s="35"/>
      <c r="L649" s="35"/>
    </row>
    <row r="650" spans="8:12" ht="15">
      <c r="H650" s="34"/>
      <c r="K650" s="35"/>
      <c r="L650" s="35"/>
    </row>
    <row r="651" spans="8:12" ht="15">
      <c r="H651" s="34"/>
      <c r="K651" s="35"/>
      <c r="L651" s="35"/>
    </row>
    <row r="652" spans="8:12" ht="15">
      <c r="H652" s="34"/>
      <c r="K652" s="35"/>
      <c r="L652" s="35"/>
    </row>
    <row r="653" spans="8:12" ht="15">
      <c r="H653" s="34"/>
      <c r="K653" s="35"/>
      <c r="L653" s="35"/>
    </row>
    <row r="654" spans="8:12" ht="15">
      <c r="H654" s="34"/>
      <c r="K654" s="35"/>
      <c r="L654" s="35"/>
    </row>
    <row r="655" spans="8:12" ht="15">
      <c r="H655" s="34"/>
      <c r="K655" s="35"/>
      <c r="L655" s="35"/>
    </row>
    <row r="656" spans="8:12" ht="15">
      <c r="H656" s="34"/>
      <c r="K656" s="35"/>
      <c r="L656" s="35"/>
    </row>
    <row r="657" spans="8:12" ht="15">
      <c r="H657" s="34"/>
      <c r="K657" s="35"/>
      <c r="L657" s="35"/>
    </row>
    <row r="658" spans="8:12" ht="15">
      <c r="H658" s="34"/>
      <c r="K658" s="35"/>
      <c r="L658" s="35"/>
    </row>
    <row r="659" spans="8:12" ht="15">
      <c r="H659" s="34"/>
      <c r="K659" s="35"/>
      <c r="L659" s="35"/>
    </row>
    <row r="660" spans="8:12" ht="15">
      <c r="H660" s="34"/>
      <c r="K660" s="35"/>
      <c r="L660" s="35"/>
    </row>
    <row r="661" spans="8:12" ht="15">
      <c r="H661" s="34"/>
      <c r="K661" s="35"/>
      <c r="L661" s="35"/>
    </row>
    <row r="662" spans="8:12" ht="15">
      <c r="H662" s="34"/>
      <c r="K662" s="35"/>
      <c r="L662" s="35"/>
    </row>
    <row r="663" spans="8:12" ht="15">
      <c r="H663" s="34"/>
      <c r="K663" s="35"/>
      <c r="L663" s="35"/>
    </row>
    <row r="664" spans="8:12" ht="15">
      <c r="H664" s="34"/>
      <c r="K664" s="35"/>
      <c r="L664" s="35"/>
    </row>
    <row r="665" spans="8:12" ht="15">
      <c r="H665" s="34"/>
      <c r="K665" s="35"/>
      <c r="L665" s="35"/>
    </row>
    <row r="666" spans="8:12" ht="15">
      <c r="H666" s="34"/>
      <c r="K666" s="35"/>
      <c r="L666" s="35"/>
    </row>
    <row r="667" spans="8:12" ht="15">
      <c r="H667" s="34"/>
      <c r="K667" s="35"/>
      <c r="L667" s="35"/>
    </row>
    <row r="668" spans="8:12" ht="15">
      <c r="H668" s="34"/>
      <c r="K668" s="35"/>
      <c r="L668" s="35"/>
    </row>
    <row r="669" spans="8:12" ht="15">
      <c r="H669" s="34"/>
      <c r="K669" s="35"/>
      <c r="L669" s="35"/>
    </row>
    <row r="670" spans="8:12" ht="15">
      <c r="H670" s="34"/>
      <c r="K670" s="35"/>
      <c r="L670" s="35"/>
    </row>
    <row r="671" spans="8:12" ht="15">
      <c r="H671" s="34"/>
      <c r="K671" s="35"/>
      <c r="L671" s="35"/>
    </row>
    <row r="672" spans="8:12" ht="15">
      <c r="H672" s="34"/>
      <c r="K672" s="35"/>
      <c r="L672" s="35"/>
    </row>
    <row r="673" spans="8:12" ht="15">
      <c r="H673" s="34"/>
      <c r="K673" s="35"/>
      <c r="L673" s="35"/>
    </row>
    <row r="674" spans="8:12" ht="15">
      <c r="H674" s="34"/>
      <c r="K674" s="35"/>
      <c r="L674" s="35"/>
    </row>
    <row r="675" spans="8:12" ht="15">
      <c r="H675" s="34"/>
      <c r="K675" s="35"/>
      <c r="L675" s="35"/>
    </row>
    <row r="676" spans="8:12" ht="15">
      <c r="H676" s="34"/>
      <c r="K676" s="35"/>
      <c r="L676" s="35"/>
    </row>
    <row r="677" spans="8:12" ht="15">
      <c r="H677" s="34"/>
      <c r="K677" s="35"/>
      <c r="L677" s="35"/>
    </row>
    <row r="678" spans="8:12" ht="15">
      <c r="H678" s="34"/>
      <c r="K678" s="35"/>
      <c r="L678" s="35"/>
    </row>
    <row r="679" spans="8:12" ht="15">
      <c r="H679" s="34"/>
      <c r="K679" s="35"/>
      <c r="L679" s="35"/>
    </row>
    <row r="680" spans="8:12" ht="15">
      <c r="H680" s="34"/>
      <c r="K680" s="35"/>
      <c r="L680" s="35"/>
    </row>
    <row r="681" spans="8:12" ht="15">
      <c r="H681" s="34"/>
      <c r="K681" s="35"/>
      <c r="L681" s="35"/>
    </row>
    <row r="682" spans="8:12" ht="15">
      <c r="H682" s="34"/>
      <c r="K682" s="35"/>
      <c r="L682" s="35"/>
    </row>
    <row r="683" spans="8:12" ht="15">
      <c r="H683" s="34"/>
      <c r="K683" s="35"/>
      <c r="L683" s="35"/>
    </row>
    <row r="684" spans="8:12" ht="15">
      <c r="H684" s="34"/>
      <c r="K684" s="35"/>
      <c r="L684" s="35"/>
    </row>
    <row r="685" spans="8:12" ht="15">
      <c r="H685" s="34"/>
      <c r="K685" s="35"/>
      <c r="L685" s="35"/>
    </row>
    <row r="686" spans="8:12" ht="15">
      <c r="H686" s="34"/>
      <c r="K686" s="35"/>
      <c r="L686" s="35"/>
    </row>
    <row r="687" spans="8:12" ht="15">
      <c r="H687" s="34"/>
      <c r="K687" s="35"/>
      <c r="L687" s="35"/>
    </row>
    <row r="688" spans="8:12" ht="15">
      <c r="H688" s="34"/>
      <c r="K688" s="35"/>
      <c r="L688" s="35"/>
    </row>
    <row r="689" spans="8:12" ht="15">
      <c r="H689" s="34"/>
      <c r="K689" s="35"/>
      <c r="L689" s="35"/>
    </row>
    <row r="690" spans="8:12" ht="15">
      <c r="H690" s="34"/>
      <c r="K690" s="35"/>
      <c r="L690" s="35"/>
    </row>
    <row r="691" spans="8:12" ht="15">
      <c r="H691" s="34"/>
      <c r="K691" s="35"/>
      <c r="L691" s="35"/>
    </row>
    <row r="692" spans="8:12" ht="15">
      <c r="H692" s="34"/>
      <c r="K692" s="35"/>
      <c r="L692" s="35"/>
    </row>
    <row r="693" spans="8:12" ht="15">
      <c r="H693" s="34"/>
      <c r="K693" s="35"/>
      <c r="L693" s="35"/>
    </row>
    <row r="694" spans="8:12" ht="15">
      <c r="H694" s="34"/>
      <c r="K694" s="35"/>
      <c r="L694" s="35"/>
    </row>
    <row r="695" spans="8:12" ht="15">
      <c r="H695" s="34"/>
      <c r="K695" s="35"/>
      <c r="L695" s="35"/>
    </row>
    <row r="696" spans="8:12" ht="15">
      <c r="H696" s="34"/>
      <c r="K696" s="35"/>
      <c r="L696" s="35"/>
    </row>
    <row r="697" spans="8:12" ht="15">
      <c r="H697" s="34"/>
      <c r="K697" s="35"/>
      <c r="L697" s="35"/>
    </row>
    <row r="698" spans="8:12" ht="15">
      <c r="H698" s="34"/>
      <c r="K698" s="35"/>
      <c r="L698" s="35"/>
    </row>
    <row r="699" spans="8:12" ht="15">
      <c r="H699" s="34"/>
      <c r="K699" s="35"/>
      <c r="L699" s="35"/>
    </row>
    <row r="700" spans="8:12" ht="15">
      <c r="H700" s="34"/>
      <c r="K700" s="35"/>
      <c r="L700" s="35"/>
    </row>
    <row r="701" spans="8:12" ht="15">
      <c r="H701" s="34"/>
      <c r="K701" s="35"/>
      <c r="L701" s="35"/>
    </row>
    <row r="702" spans="8:12" ht="15">
      <c r="H702" s="34"/>
      <c r="K702" s="35"/>
      <c r="L702" s="35"/>
    </row>
    <row r="703" spans="8:12" ht="15">
      <c r="H703" s="34"/>
      <c r="K703" s="35"/>
      <c r="L703" s="35"/>
    </row>
    <row r="704" spans="8:12" ht="15">
      <c r="H704" s="34"/>
      <c r="K704" s="35"/>
      <c r="L704" s="35"/>
    </row>
    <row r="705" spans="8:12" ht="15">
      <c r="H705" s="34"/>
      <c r="K705" s="35"/>
      <c r="L705" s="35"/>
    </row>
    <row r="706" spans="8:12" ht="15">
      <c r="H706" s="34"/>
      <c r="K706" s="35"/>
      <c r="L706" s="35"/>
    </row>
    <row r="707" spans="8:12" ht="15">
      <c r="H707" s="34"/>
      <c r="K707" s="35"/>
      <c r="L707" s="35"/>
    </row>
    <row r="708" spans="8:12" ht="15">
      <c r="H708" s="34"/>
      <c r="K708" s="35"/>
      <c r="L708" s="35"/>
    </row>
    <row r="709" spans="8:12" ht="15">
      <c r="H709" s="34"/>
      <c r="K709" s="35"/>
      <c r="L709" s="35"/>
    </row>
    <row r="710" spans="8:12" ht="15">
      <c r="H710" s="34"/>
      <c r="K710" s="35"/>
      <c r="L710" s="35"/>
    </row>
    <row r="711" spans="8:12" ht="15">
      <c r="H711" s="34"/>
      <c r="K711" s="35"/>
      <c r="L711" s="35"/>
    </row>
    <row r="712" spans="8:12" ht="15">
      <c r="H712" s="34"/>
      <c r="K712" s="35"/>
      <c r="L712" s="35"/>
    </row>
    <row r="713" spans="8:12" ht="15">
      <c r="H713" s="34"/>
      <c r="K713" s="35"/>
      <c r="L713" s="35"/>
    </row>
    <row r="714" spans="8:12" ht="15">
      <c r="H714" s="34"/>
      <c r="K714" s="35"/>
      <c r="L714" s="35"/>
    </row>
    <row r="715" spans="8:12" ht="15">
      <c r="H715" s="34"/>
      <c r="K715" s="35"/>
      <c r="L715" s="35"/>
    </row>
    <row r="716" spans="8:12" ht="15">
      <c r="H716" s="34"/>
      <c r="K716" s="35"/>
      <c r="L716" s="35"/>
    </row>
    <row r="717" spans="8:12" ht="15">
      <c r="H717" s="34"/>
      <c r="K717" s="35"/>
      <c r="L717" s="35"/>
    </row>
    <row r="718" spans="8:12" ht="15">
      <c r="H718" s="34"/>
      <c r="K718" s="35"/>
      <c r="L718" s="35"/>
    </row>
    <row r="719" spans="8:12" ht="15">
      <c r="H719" s="34"/>
      <c r="K719" s="35"/>
      <c r="L719" s="35"/>
    </row>
    <row r="720" spans="8:12" ht="15">
      <c r="H720" s="34"/>
      <c r="K720" s="35"/>
      <c r="L720" s="35"/>
    </row>
    <row r="721" spans="8:12" ht="15">
      <c r="H721" s="34"/>
      <c r="K721" s="35"/>
      <c r="L721" s="35"/>
    </row>
    <row r="722" spans="8:12" ht="15">
      <c r="H722" s="34"/>
      <c r="K722" s="35"/>
      <c r="L722" s="35"/>
    </row>
    <row r="723" spans="8:12" ht="15">
      <c r="H723" s="34"/>
      <c r="K723" s="35"/>
      <c r="L723" s="35"/>
    </row>
    <row r="724" spans="8:12" ht="15">
      <c r="H724" s="34"/>
      <c r="K724" s="35"/>
      <c r="L724" s="35"/>
    </row>
    <row r="725" spans="8:12" ht="15">
      <c r="H725" s="34"/>
      <c r="K725" s="35"/>
      <c r="L725" s="35"/>
    </row>
    <row r="726" spans="8:12" ht="15">
      <c r="H726" s="34"/>
      <c r="K726" s="35"/>
      <c r="L726" s="35"/>
    </row>
    <row r="727" spans="8:12" ht="15">
      <c r="H727" s="34"/>
      <c r="K727" s="35"/>
      <c r="L727" s="35"/>
    </row>
    <row r="728" spans="8:12" ht="15">
      <c r="H728" s="34"/>
      <c r="K728" s="35"/>
      <c r="L728" s="35"/>
    </row>
    <row r="729" spans="8:12" ht="15">
      <c r="H729" s="34"/>
      <c r="K729" s="35"/>
      <c r="L729" s="35"/>
    </row>
    <row r="730" spans="8:12" ht="15">
      <c r="H730" s="34"/>
      <c r="K730" s="35"/>
      <c r="L730" s="35"/>
    </row>
    <row r="731" spans="8:12" ht="15">
      <c r="H731" s="34"/>
      <c r="K731" s="35"/>
      <c r="L731" s="35"/>
    </row>
    <row r="732" spans="8:12" ht="15">
      <c r="H732" s="34"/>
      <c r="K732" s="35"/>
      <c r="L732" s="35"/>
    </row>
    <row r="733" spans="8:12" ht="15">
      <c r="H733" s="34"/>
      <c r="K733" s="35"/>
      <c r="L733" s="35"/>
    </row>
    <row r="734" spans="8:12" ht="15">
      <c r="H734" s="34"/>
      <c r="K734" s="35"/>
      <c r="L734" s="35"/>
    </row>
    <row r="735" spans="8:12" ht="15">
      <c r="H735" s="34"/>
      <c r="K735" s="35"/>
      <c r="L735" s="35"/>
    </row>
    <row r="736" spans="8:12" ht="15">
      <c r="H736" s="34"/>
      <c r="K736" s="35"/>
      <c r="L736" s="35"/>
    </row>
    <row r="737" spans="8:12" ht="15">
      <c r="H737" s="34"/>
      <c r="K737" s="35"/>
      <c r="L737" s="35"/>
    </row>
    <row r="738" spans="8:12" ht="15">
      <c r="H738" s="34"/>
      <c r="K738" s="35"/>
      <c r="L738" s="35"/>
    </row>
    <row r="739" spans="8:12" ht="15">
      <c r="H739" s="34"/>
      <c r="K739" s="35"/>
      <c r="L739" s="35"/>
    </row>
    <row r="740" spans="8:12" ht="15">
      <c r="H740" s="34"/>
      <c r="K740" s="35"/>
      <c r="L740" s="35"/>
    </row>
    <row r="741" spans="8:12" ht="15">
      <c r="H741" s="34"/>
      <c r="K741" s="35"/>
      <c r="L741" s="35"/>
    </row>
    <row r="742" spans="8:12" ht="15">
      <c r="H742" s="34"/>
      <c r="K742" s="35"/>
      <c r="L742" s="35"/>
    </row>
    <row r="743" spans="8:12" ht="15">
      <c r="H743" s="34"/>
      <c r="K743" s="35"/>
      <c r="L743" s="35"/>
    </row>
    <row r="744" spans="8:12" ht="15">
      <c r="H744" s="34"/>
      <c r="K744" s="35"/>
      <c r="L744" s="35"/>
    </row>
    <row r="745" spans="8:12" ht="15">
      <c r="H745" s="34"/>
      <c r="K745" s="35"/>
      <c r="L745" s="35"/>
    </row>
    <row r="746" spans="8:12" ht="15">
      <c r="H746" s="34"/>
      <c r="K746" s="35"/>
      <c r="L746" s="35"/>
    </row>
    <row r="747" spans="8:12" ht="15">
      <c r="H747" s="34"/>
      <c r="K747" s="35"/>
      <c r="L747" s="35"/>
    </row>
    <row r="748" spans="8:12" ht="15">
      <c r="H748" s="34"/>
      <c r="K748" s="35"/>
      <c r="L748" s="35"/>
    </row>
    <row r="749" spans="8:12" ht="15">
      <c r="H749" s="34"/>
      <c r="K749" s="35"/>
      <c r="L749" s="35"/>
    </row>
    <row r="750" spans="8:12" ht="15">
      <c r="H750" s="34"/>
      <c r="K750" s="35"/>
      <c r="L750" s="35"/>
    </row>
    <row r="751" spans="8:12" ht="15">
      <c r="H751" s="34"/>
      <c r="K751" s="35"/>
      <c r="L751" s="35"/>
    </row>
    <row r="752" spans="8:12" ht="15">
      <c r="H752" s="34"/>
      <c r="K752" s="35"/>
      <c r="L752" s="35"/>
    </row>
    <row r="753" spans="8:12" ht="15">
      <c r="H753" s="34"/>
      <c r="K753" s="35"/>
      <c r="L753" s="35"/>
    </row>
    <row r="754" spans="8:12" ht="15">
      <c r="H754" s="34"/>
      <c r="K754" s="35"/>
      <c r="L754" s="35"/>
    </row>
    <row r="755" spans="8:12" ht="15">
      <c r="H755" s="34"/>
      <c r="K755" s="35"/>
      <c r="L755" s="35"/>
    </row>
    <row r="756" spans="8:12" ht="15">
      <c r="H756" s="34"/>
      <c r="K756" s="35"/>
      <c r="L756" s="35"/>
    </row>
    <row r="757" spans="8:12" ht="15">
      <c r="H757" s="34"/>
      <c r="K757" s="35"/>
      <c r="L757" s="35"/>
    </row>
    <row r="758" spans="8:12" ht="15">
      <c r="H758" s="34"/>
      <c r="K758" s="35"/>
      <c r="L758" s="35"/>
    </row>
    <row r="759" spans="8:12" ht="15">
      <c r="H759" s="34"/>
      <c r="K759" s="35"/>
      <c r="L759" s="35"/>
    </row>
    <row r="760" spans="8:12" ht="15">
      <c r="H760" s="34"/>
      <c r="K760" s="35"/>
      <c r="L760" s="35"/>
    </row>
    <row r="761" spans="8:12" ht="15">
      <c r="H761" s="34"/>
      <c r="K761" s="35"/>
      <c r="L761" s="35"/>
    </row>
    <row r="762" spans="8:12" ht="15">
      <c r="H762" s="34"/>
      <c r="K762" s="35"/>
      <c r="L762" s="35"/>
    </row>
    <row r="763" spans="8:12" ht="15">
      <c r="H763" s="34"/>
      <c r="K763" s="35"/>
      <c r="L763" s="35"/>
    </row>
    <row r="764" spans="8:12" ht="15">
      <c r="H764" s="34"/>
      <c r="K764" s="35"/>
      <c r="L764" s="35"/>
    </row>
    <row r="765" spans="8:12" ht="15">
      <c r="H765" s="34"/>
      <c r="K765" s="35"/>
      <c r="L765" s="35"/>
    </row>
    <row r="766" spans="8:12" ht="15">
      <c r="H766" s="34"/>
      <c r="K766" s="35"/>
      <c r="L766" s="35"/>
    </row>
    <row r="767" spans="8:12" ht="15">
      <c r="H767" s="34"/>
      <c r="K767" s="35"/>
      <c r="L767" s="35"/>
    </row>
    <row r="768" spans="8:12" ht="15">
      <c r="H768" s="34"/>
      <c r="K768" s="35"/>
      <c r="L768" s="35"/>
    </row>
    <row r="769" spans="8:12" ht="15">
      <c r="H769" s="34"/>
      <c r="K769" s="35"/>
      <c r="L769" s="35"/>
    </row>
    <row r="770" spans="8:12" ht="15">
      <c r="H770" s="34"/>
      <c r="K770" s="35"/>
      <c r="L770" s="35"/>
    </row>
    <row r="771" spans="8:12" ht="15">
      <c r="H771" s="34"/>
      <c r="K771" s="35"/>
      <c r="L771" s="35"/>
    </row>
    <row r="772" spans="8:12" ht="15">
      <c r="H772" s="34"/>
      <c r="K772" s="35"/>
      <c r="L772" s="35"/>
    </row>
    <row r="773" spans="8:12" ht="15">
      <c r="H773" s="34"/>
      <c r="K773" s="35"/>
      <c r="L773" s="35"/>
    </row>
    <row r="774" spans="8:12" ht="15">
      <c r="H774" s="34"/>
      <c r="K774" s="35"/>
      <c r="L774" s="35"/>
    </row>
    <row r="775" spans="8:12" ht="15">
      <c r="H775" s="34"/>
      <c r="K775" s="35"/>
      <c r="L775" s="35"/>
    </row>
    <row r="776" spans="8:12" ht="15">
      <c r="H776" s="34"/>
      <c r="K776" s="35"/>
      <c r="L776" s="35"/>
    </row>
    <row r="777" spans="8:12" ht="15">
      <c r="H777" s="34"/>
      <c r="K777" s="35"/>
      <c r="L777" s="35"/>
    </row>
    <row r="778" spans="8:12" ht="15">
      <c r="H778" s="34"/>
      <c r="K778" s="35"/>
      <c r="L778" s="35"/>
    </row>
    <row r="779" spans="8:12" ht="15">
      <c r="H779" s="34"/>
      <c r="K779" s="35"/>
      <c r="L779" s="35"/>
    </row>
    <row r="780" spans="8:12" ht="15">
      <c r="H780" s="34"/>
      <c r="K780" s="35"/>
      <c r="L780" s="35"/>
    </row>
    <row r="781" spans="8:12" ht="15">
      <c r="H781" s="34"/>
      <c r="K781" s="35"/>
      <c r="L781" s="35"/>
    </row>
    <row r="782" spans="8:12" ht="15">
      <c r="H782" s="34"/>
      <c r="K782" s="35"/>
      <c r="L782" s="35"/>
    </row>
    <row r="783" spans="8:12" ht="15">
      <c r="H783" s="34"/>
      <c r="K783" s="35"/>
      <c r="L783" s="35"/>
    </row>
    <row r="784" spans="8:12" ht="15">
      <c r="H784" s="34"/>
      <c r="K784" s="35"/>
      <c r="L784" s="35"/>
    </row>
    <row r="785" spans="8:12" ht="15">
      <c r="H785" s="34"/>
      <c r="K785" s="35"/>
      <c r="L785" s="35"/>
    </row>
    <row r="786" spans="8:12" ht="15">
      <c r="H786" s="34"/>
      <c r="K786" s="35"/>
      <c r="L786" s="35"/>
    </row>
    <row r="787" spans="8:12" ht="15">
      <c r="H787" s="34"/>
      <c r="K787" s="35"/>
      <c r="L787" s="35"/>
    </row>
    <row r="788" spans="8:12" ht="15">
      <c r="H788" s="34"/>
      <c r="K788" s="35"/>
      <c r="L788" s="35"/>
    </row>
    <row r="789" spans="8:12" ht="15">
      <c r="H789" s="34"/>
      <c r="K789" s="35"/>
      <c r="L789" s="35"/>
    </row>
    <row r="790" spans="8:12" ht="15">
      <c r="H790" s="34"/>
      <c r="K790" s="35"/>
      <c r="L790" s="35"/>
    </row>
    <row r="791" spans="8:12" ht="15">
      <c r="H791" s="34"/>
      <c r="K791" s="35"/>
      <c r="L791" s="35"/>
    </row>
    <row r="792" spans="8:12" ht="15">
      <c r="H792" s="34"/>
      <c r="K792" s="35"/>
      <c r="L792" s="35"/>
    </row>
    <row r="793" spans="8:12" ht="15">
      <c r="H793" s="34"/>
      <c r="K793" s="35"/>
      <c r="L793" s="35"/>
    </row>
    <row r="794" spans="8:12" ht="15">
      <c r="H794" s="34"/>
      <c r="K794" s="35"/>
      <c r="L794" s="35"/>
    </row>
    <row r="795" spans="8:12" ht="15">
      <c r="H795" s="34"/>
      <c r="K795" s="35"/>
      <c r="L795" s="35"/>
    </row>
    <row r="796" spans="8:12" ht="15">
      <c r="H796" s="34"/>
      <c r="K796" s="35"/>
      <c r="L796" s="35"/>
    </row>
    <row r="797" spans="8:12" ht="15">
      <c r="H797" s="34"/>
      <c r="K797" s="35"/>
      <c r="L797" s="35"/>
    </row>
    <row r="798" spans="8:12" ht="15">
      <c r="H798" s="34"/>
      <c r="K798" s="35"/>
      <c r="L798" s="35"/>
    </row>
    <row r="799" spans="8:12" ht="15">
      <c r="H799" s="34"/>
      <c r="K799" s="35"/>
      <c r="L799" s="35"/>
    </row>
    <row r="800" spans="8:12" ht="15">
      <c r="H800" s="34"/>
      <c r="K800" s="35"/>
      <c r="L800" s="35"/>
    </row>
    <row r="801" spans="8:12" ht="15">
      <c r="H801" s="34"/>
      <c r="K801" s="35"/>
      <c r="L801" s="35"/>
    </row>
    <row r="802" spans="8:12" ht="15">
      <c r="H802" s="34"/>
      <c r="K802" s="35"/>
      <c r="L802" s="35"/>
    </row>
    <row r="803" spans="8:12" ht="15">
      <c r="H803" s="34"/>
      <c r="K803" s="35"/>
      <c r="L803" s="35"/>
    </row>
    <row r="804" spans="8:12" ht="15">
      <c r="H804" s="34"/>
      <c r="K804" s="35"/>
      <c r="L804" s="35"/>
    </row>
    <row r="805" spans="8:12" ht="15">
      <c r="H805" s="34"/>
      <c r="K805" s="35"/>
      <c r="L805" s="35"/>
    </row>
    <row r="806" spans="8:12" ht="15">
      <c r="H806" s="34"/>
      <c r="K806" s="35"/>
      <c r="L806" s="35"/>
    </row>
    <row r="807" spans="8:12" ht="15">
      <c r="H807" s="34"/>
      <c r="K807" s="35"/>
      <c r="L807" s="35"/>
    </row>
    <row r="808" spans="8:12" ht="15">
      <c r="H808" s="34"/>
      <c r="K808" s="35"/>
      <c r="L808" s="35"/>
    </row>
    <row r="809" spans="8:12" ht="15">
      <c r="H809" s="34"/>
      <c r="K809" s="35"/>
      <c r="L809" s="35"/>
    </row>
    <row r="810" spans="8:12" ht="15">
      <c r="H810" s="34"/>
      <c r="K810" s="35"/>
      <c r="L810" s="35"/>
    </row>
    <row r="811" spans="8:12" ht="15">
      <c r="H811" s="34"/>
      <c r="K811" s="35"/>
      <c r="L811" s="35"/>
    </row>
    <row r="812" spans="8:12" ht="15">
      <c r="H812" s="34"/>
      <c r="K812" s="35"/>
      <c r="L812" s="35"/>
    </row>
    <row r="813" spans="8:12" ht="15">
      <c r="H813" s="34"/>
      <c r="K813" s="35"/>
      <c r="L813" s="35"/>
    </row>
    <row r="814" spans="8:12" ht="15">
      <c r="H814" s="34"/>
      <c r="K814" s="35"/>
      <c r="L814" s="35"/>
    </row>
    <row r="815" spans="8:12" ht="15">
      <c r="H815" s="34"/>
      <c r="K815" s="35"/>
      <c r="L815" s="35"/>
    </row>
    <row r="816" spans="8:12" ht="15">
      <c r="H816" s="34"/>
      <c r="K816" s="35"/>
      <c r="L816" s="35"/>
    </row>
    <row r="817" spans="8:12" ht="15">
      <c r="H817" s="34"/>
      <c r="K817" s="35"/>
      <c r="L817" s="35"/>
    </row>
    <row r="818" spans="8:12" ht="15">
      <c r="H818" s="34"/>
      <c r="K818" s="35"/>
      <c r="L818" s="35"/>
    </row>
    <row r="819" spans="8:12" ht="15">
      <c r="H819" s="34"/>
      <c r="K819" s="35"/>
      <c r="L819" s="35"/>
    </row>
    <row r="820" spans="8:12" ht="15">
      <c r="H820" s="34"/>
      <c r="K820" s="35"/>
      <c r="L820" s="35"/>
    </row>
    <row r="821" spans="8:12" ht="15">
      <c r="H821" s="34"/>
      <c r="K821" s="35"/>
      <c r="L821" s="35"/>
    </row>
    <row r="822" spans="8:12" ht="15">
      <c r="H822" s="34"/>
      <c r="K822" s="35"/>
      <c r="L822" s="35"/>
    </row>
    <row r="823" spans="8:12" ht="15">
      <c r="H823" s="34"/>
      <c r="K823" s="35"/>
      <c r="L823" s="35"/>
    </row>
    <row r="824" spans="8:12" ht="15">
      <c r="H824" s="34"/>
      <c r="K824" s="35"/>
      <c r="L824" s="35"/>
    </row>
    <row r="825" spans="8:12" ht="15">
      <c r="H825" s="34"/>
      <c r="K825" s="35"/>
      <c r="L825" s="35"/>
    </row>
    <row r="826" spans="8:12" ht="15">
      <c r="H826" s="34"/>
      <c r="K826" s="35"/>
      <c r="L826" s="35"/>
    </row>
    <row r="827" spans="8:12" ht="15">
      <c r="H827" s="34"/>
      <c r="K827" s="35"/>
      <c r="L827" s="35"/>
    </row>
    <row r="828" spans="8:12" ht="15">
      <c r="H828" s="34"/>
      <c r="K828" s="35"/>
      <c r="L828" s="35"/>
    </row>
    <row r="829" spans="8:12" ht="15">
      <c r="H829" s="34"/>
      <c r="K829" s="35"/>
      <c r="L829" s="35"/>
    </row>
    <row r="830" spans="8:12" ht="15">
      <c r="H830" s="34"/>
      <c r="K830" s="35"/>
      <c r="L830" s="35"/>
    </row>
    <row r="831" spans="8:12" ht="15">
      <c r="H831" s="34"/>
      <c r="K831" s="35"/>
      <c r="L831" s="35"/>
    </row>
    <row r="832" spans="8:12" ht="15">
      <c r="H832" s="34"/>
      <c r="K832" s="35"/>
      <c r="L832" s="35"/>
    </row>
    <row r="833" spans="8:12" ht="15">
      <c r="H833" s="34"/>
      <c r="K833" s="35"/>
      <c r="L833" s="35"/>
    </row>
    <row r="834" spans="8:12" ht="15">
      <c r="H834" s="34"/>
      <c r="K834" s="35"/>
      <c r="L834" s="35"/>
    </row>
    <row r="835" spans="8:12" ht="15">
      <c r="H835" s="34"/>
      <c r="K835" s="35"/>
      <c r="L835" s="35"/>
    </row>
    <row r="836" spans="8:12" ht="15">
      <c r="H836" s="34"/>
      <c r="K836" s="35"/>
      <c r="L836" s="35"/>
    </row>
    <row r="837" spans="8:12" ht="15">
      <c r="H837" s="34"/>
      <c r="K837" s="35"/>
      <c r="L837" s="35"/>
    </row>
    <row r="838" spans="8:12" ht="15">
      <c r="H838" s="34"/>
      <c r="K838" s="35"/>
      <c r="L838" s="35"/>
    </row>
    <row r="839" spans="8:12" ht="15">
      <c r="H839" s="34"/>
      <c r="K839" s="35"/>
      <c r="L839" s="35"/>
    </row>
    <row r="840" spans="8:12" ht="15">
      <c r="H840" s="34"/>
      <c r="K840" s="35"/>
      <c r="L840" s="35"/>
    </row>
    <row r="841" spans="8:12" ht="15">
      <c r="H841" s="34"/>
      <c r="K841" s="35"/>
      <c r="L841" s="35"/>
    </row>
    <row r="842" spans="8:12" ht="15">
      <c r="H842" s="34"/>
      <c r="K842" s="35"/>
      <c r="L842" s="35"/>
    </row>
    <row r="843" spans="8:12" ht="15">
      <c r="H843" s="34"/>
      <c r="K843" s="35"/>
      <c r="L843" s="35"/>
    </row>
    <row r="844" spans="8:12" ht="15">
      <c r="H844" s="34"/>
      <c r="K844" s="35"/>
      <c r="L844" s="35"/>
    </row>
    <row r="845" spans="8:12" ht="15">
      <c r="H845" s="34"/>
      <c r="K845" s="35"/>
      <c r="L845" s="35"/>
    </row>
    <row r="846" spans="8:12" ht="15">
      <c r="H846" s="34"/>
      <c r="K846" s="35"/>
      <c r="L846" s="35"/>
    </row>
    <row r="847" spans="8:12" ht="15">
      <c r="H847" s="34"/>
      <c r="K847" s="35"/>
      <c r="L847" s="35"/>
    </row>
    <row r="848" spans="8:12" ht="15">
      <c r="H848" s="34"/>
      <c r="K848" s="35"/>
      <c r="L848" s="35"/>
    </row>
    <row r="849" spans="8:12" ht="15">
      <c r="H849" s="34"/>
      <c r="K849" s="35"/>
      <c r="L849" s="35"/>
    </row>
    <row r="850" spans="8:12" ht="15">
      <c r="H850" s="34"/>
      <c r="K850" s="35"/>
      <c r="L850" s="35"/>
    </row>
    <row r="851" spans="8:12" ht="15">
      <c r="H851" s="34"/>
      <c r="K851" s="35"/>
      <c r="L851" s="35"/>
    </row>
    <row r="852" spans="8:12" ht="15">
      <c r="H852" s="34"/>
      <c r="K852" s="35"/>
      <c r="L852" s="35"/>
    </row>
    <row r="853" spans="8:12" ht="15">
      <c r="H853" s="34"/>
      <c r="K853" s="35"/>
      <c r="L853" s="35"/>
    </row>
    <row r="854" spans="8:12" ht="15">
      <c r="H854" s="34"/>
      <c r="K854" s="35"/>
      <c r="L854" s="35"/>
    </row>
    <row r="855" spans="8:12" ht="15">
      <c r="H855" s="34"/>
      <c r="K855" s="35"/>
      <c r="L855" s="35"/>
    </row>
    <row r="856" spans="8:12" ht="15">
      <c r="H856" s="34"/>
      <c r="K856" s="35"/>
      <c r="L856" s="35"/>
    </row>
    <row r="857" spans="8:12" ht="15">
      <c r="H857" s="34"/>
      <c r="K857" s="35"/>
      <c r="L857" s="35"/>
    </row>
    <row r="858" spans="8:12" ht="15">
      <c r="H858" s="34"/>
      <c r="K858" s="35"/>
      <c r="L858" s="35"/>
    </row>
    <row r="859" spans="8:12" ht="15">
      <c r="H859" s="34"/>
      <c r="K859" s="35"/>
      <c r="L859" s="35"/>
    </row>
    <row r="860" spans="8:12" ht="15">
      <c r="H860" s="34"/>
      <c r="K860" s="35"/>
      <c r="L860" s="35"/>
    </row>
    <row r="861" spans="8:12" ht="15">
      <c r="H861" s="34"/>
      <c r="K861" s="35"/>
      <c r="L861" s="35"/>
    </row>
    <row r="862" spans="8:12" ht="15">
      <c r="H862" s="34"/>
      <c r="K862" s="35"/>
      <c r="L862" s="35"/>
    </row>
    <row r="863" spans="8:12" ht="15">
      <c r="H863" s="34"/>
      <c r="K863" s="35"/>
      <c r="L863" s="35"/>
    </row>
    <row r="864" spans="8:12" ht="15">
      <c r="H864" s="34"/>
      <c r="K864" s="35"/>
      <c r="L864" s="35"/>
    </row>
    <row r="865" spans="8:12" ht="15">
      <c r="H865" s="34"/>
      <c r="K865" s="35"/>
      <c r="L865" s="35"/>
    </row>
    <row r="866" spans="8:12" ht="15">
      <c r="H866" s="34"/>
      <c r="K866" s="35"/>
      <c r="L866" s="35"/>
    </row>
    <row r="867" spans="8:12" ht="15">
      <c r="H867" s="34"/>
      <c r="K867" s="35"/>
      <c r="L867" s="35"/>
    </row>
    <row r="868" spans="8:12" ht="15">
      <c r="H868" s="34"/>
      <c r="K868" s="35"/>
      <c r="L868" s="35"/>
    </row>
    <row r="869" spans="8:12" ht="15">
      <c r="H869" s="34"/>
      <c r="K869" s="35"/>
      <c r="L869" s="35"/>
    </row>
    <row r="870" spans="8:12" ht="15">
      <c r="H870" s="34"/>
      <c r="K870" s="35"/>
      <c r="L870" s="35"/>
    </row>
    <row r="871" spans="8:12" ht="15">
      <c r="H871" s="34"/>
      <c r="K871" s="35"/>
      <c r="L871" s="35"/>
    </row>
    <row r="872" spans="8:12" ht="15">
      <c r="H872" s="34"/>
      <c r="K872" s="35"/>
      <c r="L872" s="35"/>
    </row>
    <row r="873" spans="8:12" ht="15">
      <c r="H873" s="34"/>
      <c r="K873" s="35"/>
      <c r="L873" s="35"/>
    </row>
    <row r="874" spans="8:12" ht="15">
      <c r="H874" s="34"/>
      <c r="K874" s="35"/>
      <c r="L874" s="35"/>
    </row>
    <row r="875" spans="8:12" ht="15">
      <c r="H875" s="34"/>
      <c r="K875" s="35"/>
      <c r="L875" s="35"/>
    </row>
    <row r="876" spans="8:12" ht="15">
      <c r="H876" s="34"/>
      <c r="K876" s="35"/>
      <c r="L876" s="35"/>
    </row>
    <row r="877" spans="8:12" ht="15">
      <c r="H877" s="34"/>
      <c r="K877" s="35"/>
      <c r="L877" s="35"/>
    </row>
    <row r="878" spans="8:12" ht="15">
      <c r="H878" s="34"/>
      <c r="K878" s="35"/>
      <c r="L878" s="35"/>
    </row>
    <row r="879" spans="8:12" ht="15">
      <c r="H879" s="34"/>
      <c r="K879" s="35"/>
      <c r="L879" s="35"/>
    </row>
    <row r="880" spans="8:12" ht="15">
      <c r="H880" s="34"/>
      <c r="K880" s="35"/>
      <c r="L880" s="35"/>
    </row>
    <row r="881" spans="8:12" ht="15">
      <c r="H881" s="34"/>
      <c r="K881" s="35"/>
      <c r="L881" s="35"/>
    </row>
    <row r="882" spans="8:12" ht="15">
      <c r="H882" s="34"/>
      <c r="K882" s="35"/>
      <c r="L882" s="35"/>
    </row>
    <row r="883" spans="8:12" ht="15">
      <c r="H883" s="34"/>
      <c r="K883" s="35"/>
      <c r="L883" s="35"/>
    </row>
    <row r="884" spans="8:12" ht="15">
      <c r="H884" s="34"/>
      <c r="K884" s="35"/>
      <c r="L884" s="35"/>
    </row>
    <row r="885" spans="8:12" ht="15">
      <c r="H885" s="34"/>
      <c r="K885" s="35"/>
      <c r="L885" s="35"/>
    </row>
    <row r="886" spans="8:12" ht="15">
      <c r="H886" s="34"/>
      <c r="K886" s="35"/>
      <c r="L886" s="35"/>
    </row>
    <row r="887" spans="8:12" ht="15">
      <c r="H887" s="34"/>
      <c r="K887" s="35"/>
      <c r="L887" s="35"/>
    </row>
    <row r="888" spans="8:12" ht="15">
      <c r="H888" s="34"/>
      <c r="K888" s="35"/>
      <c r="L888" s="35"/>
    </row>
    <row r="889" spans="8:12" ht="15">
      <c r="H889" s="34"/>
      <c r="K889" s="35"/>
      <c r="L889" s="35"/>
    </row>
    <row r="890" spans="8:12" ht="15">
      <c r="H890" s="34"/>
      <c r="K890" s="35"/>
      <c r="L890" s="35"/>
    </row>
    <row r="891" spans="8:12" ht="15">
      <c r="H891" s="34"/>
      <c r="K891" s="35"/>
      <c r="L891" s="35"/>
    </row>
    <row r="892" spans="8:12" ht="15">
      <c r="H892" s="34"/>
      <c r="K892" s="35"/>
      <c r="L892" s="35"/>
    </row>
    <row r="893" spans="8:12" ht="15">
      <c r="H893" s="34"/>
      <c r="K893" s="35"/>
      <c r="L893" s="35"/>
    </row>
    <row r="894" spans="8:12" ht="15">
      <c r="H894" s="34"/>
      <c r="K894" s="35"/>
      <c r="L894" s="35"/>
    </row>
    <row r="895" spans="8:12" ht="15">
      <c r="H895" s="34"/>
      <c r="K895" s="35"/>
      <c r="L895" s="35"/>
    </row>
    <row r="896" spans="8:12" ht="15">
      <c r="H896" s="34"/>
      <c r="K896" s="35"/>
      <c r="L896" s="35"/>
    </row>
    <row r="897" spans="8:12" ht="15">
      <c r="H897" s="34"/>
      <c r="K897" s="35"/>
      <c r="L897" s="35"/>
    </row>
    <row r="898" spans="8:12" ht="15">
      <c r="H898" s="34"/>
      <c r="K898" s="35"/>
      <c r="L898" s="35"/>
    </row>
    <row r="899" spans="8:12" ht="15">
      <c r="H899" s="34"/>
      <c r="K899" s="35"/>
      <c r="L899" s="35"/>
    </row>
    <row r="900" spans="8:12" ht="15">
      <c r="H900" s="34"/>
      <c r="K900" s="35"/>
      <c r="L900" s="35"/>
    </row>
    <row r="901" spans="8:12" ht="15">
      <c r="H901" s="34"/>
      <c r="K901" s="35"/>
      <c r="L901" s="35"/>
    </row>
    <row r="902" spans="8:12" ht="15">
      <c r="H902" s="34"/>
      <c r="K902" s="35"/>
      <c r="L902" s="35"/>
    </row>
    <row r="903" spans="8:12" ht="15">
      <c r="H903" s="34"/>
      <c r="K903" s="35"/>
      <c r="L903" s="35"/>
    </row>
    <row r="904" spans="8:12" ht="15">
      <c r="H904" s="34"/>
      <c r="K904" s="35"/>
      <c r="L904" s="35"/>
    </row>
    <row r="905" spans="8:12" ht="15">
      <c r="H905" s="34"/>
      <c r="K905" s="35"/>
      <c r="L905" s="35"/>
    </row>
    <row r="906" spans="8:12" ht="15">
      <c r="H906" s="34"/>
      <c r="K906" s="35"/>
      <c r="L906" s="35"/>
    </row>
    <row r="907" spans="8:12" ht="15">
      <c r="H907" s="34"/>
      <c r="K907" s="35"/>
      <c r="L907" s="35"/>
    </row>
    <row r="908" spans="8:12" ht="15">
      <c r="H908" s="34"/>
      <c r="K908" s="35"/>
      <c r="L908" s="35"/>
    </row>
    <row r="909" spans="8:12" ht="15">
      <c r="H909" s="34"/>
      <c r="K909" s="35"/>
      <c r="L909" s="35"/>
    </row>
    <row r="910" spans="8:12" ht="15">
      <c r="H910" s="34"/>
      <c r="K910" s="35"/>
      <c r="L910" s="35"/>
    </row>
    <row r="911" spans="8:12" ht="15">
      <c r="H911" s="34"/>
      <c r="K911" s="35"/>
      <c r="L911" s="35"/>
    </row>
    <row r="912" spans="8:12" ht="15">
      <c r="H912" s="34"/>
      <c r="K912" s="35"/>
      <c r="L912" s="35"/>
    </row>
    <row r="913" spans="8:12" ht="15">
      <c r="H913" s="34"/>
      <c r="K913" s="35"/>
      <c r="L913" s="35"/>
    </row>
    <row r="914" spans="8:12" ht="15">
      <c r="H914" s="34"/>
      <c r="K914" s="35"/>
      <c r="L914" s="35"/>
    </row>
    <row r="915" spans="8:12" ht="15">
      <c r="H915" s="34"/>
      <c r="K915" s="35"/>
      <c r="L915" s="35"/>
    </row>
    <row r="916" spans="8:12" ht="15">
      <c r="H916" s="34"/>
      <c r="K916" s="35"/>
      <c r="L916" s="35"/>
    </row>
    <row r="917" spans="8:12" ht="15">
      <c r="H917" s="34"/>
      <c r="K917" s="35"/>
      <c r="L917" s="35"/>
    </row>
    <row r="918" spans="8:12" ht="15">
      <c r="H918" s="34"/>
      <c r="K918" s="35"/>
      <c r="L918" s="35"/>
    </row>
    <row r="919" spans="8:12" ht="15">
      <c r="H919" s="34"/>
      <c r="K919" s="35"/>
      <c r="L919" s="35"/>
    </row>
    <row r="920" spans="8:12" ht="15">
      <c r="H920" s="34"/>
      <c r="K920" s="35"/>
      <c r="L920" s="35"/>
    </row>
    <row r="921" spans="8:12" ht="15">
      <c r="H921" s="34"/>
      <c r="K921" s="35"/>
      <c r="L921" s="35"/>
    </row>
    <row r="922" spans="8:12" ht="15">
      <c r="H922" s="34"/>
      <c r="K922" s="35"/>
      <c r="L922" s="35"/>
    </row>
    <row r="923" spans="8:12" ht="15">
      <c r="H923" s="34"/>
      <c r="K923" s="35"/>
      <c r="L923" s="35"/>
    </row>
    <row r="924" spans="8:12" ht="15">
      <c r="H924" s="34"/>
      <c r="K924" s="35"/>
      <c r="L924" s="35"/>
    </row>
    <row r="925" spans="8:12" ht="15">
      <c r="H925" s="34"/>
      <c r="K925" s="35"/>
      <c r="L925" s="35"/>
    </row>
    <row r="926" spans="8:12" ht="15">
      <c r="H926" s="34"/>
      <c r="K926" s="35"/>
      <c r="L926" s="35"/>
    </row>
    <row r="927" spans="8:12" ht="15">
      <c r="H927" s="34"/>
      <c r="K927" s="35"/>
      <c r="L927" s="35"/>
    </row>
    <row r="928" spans="8:12" ht="15">
      <c r="H928" s="34"/>
      <c r="K928" s="35"/>
      <c r="L928" s="35"/>
    </row>
    <row r="929" spans="8:12" ht="15">
      <c r="H929" s="34"/>
      <c r="K929" s="35"/>
      <c r="L929" s="35"/>
    </row>
    <row r="930" spans="8:12" ht="15">
      <c r="H930" s="34"/>
      <c r="K930" s="35"/>
      <c r="L930" s="35"/>
    </row>
    <row r="931" spans="8:12" ht="15">
      <c r="H931" s="34"/>
      <c r="K931" s="35"/>
      <c r="L931" s="35"/>
    </row>
    <row r="932" spans="8:12" ht="15">
      <c r="H932" s="34"/>
      <c r="K932" s="35"/>
      <c r="L932" s="35"/>
    </row>
    <row r="933" spans="8:12" ht="15">
      <c r="H933" s="34"/>
      <c r="K933" s="35"/>
      <c r="L933" s="35"/>
    </row>
    <row r="934" spans="8:12" ht="15">
      <c r="H934" s="34"/>
      <c r="K934" s="35"/>
      <c r="L934" s="35"/>
    </row>
    <row r="935" spans="8:12" ht="15">
      <c r="H935" s="34"/>
      <c r="K935" s="35"/>
      <c r="L935" s="35"/>
    </row>
    <row r="936" spans="8:12" ht="15">
      <c r="H936" s="34"/>
      <c r="K936" s="35"/>
      <c r="L936" s="35"/>
    </row>
    <row r="937" spans="8:12" ht="15">
      <c r="H937" s="34"/>
      <c r="K937" s="35"/>
      <c r="L937" s="35"/>
    </row>
    <row r="938" spans="8:12" ht="15">
      <c r="H938" s="34"/>
      <c r="K938" s="35"/>
      <c r="L938" s="35"/>
    </row>
    <row r="939" spans="8:12" ht="15">
      <c r="H939" s="34"/>
      <c r="K939" s="35"/>
      <c r="L939" s="35"/>
    </row>
    <row r="940" spans="8:12" ht="15">
      <c r="H940" s="34"/>
      <c r="K940" s="35"/>
      <c r="L940" s="35"/>
    </row>
    <row r="941" spans="8:12" ht="15">
      <c r="H941" s="34"/>
      <c r="K941" s="35"/>
      <c r="L941" s="35"/>
    </row>
    <row r="942" spans="8:12" ht="15">
      <c r="H942" s="34"/>
      <c r="K942" s="35"/>
      <c r="L942" s="35"/>
    </row>
    <row r="943" spans="8:12" ht="15">
      <c r="H943" s="34"/>
      <c r="K943" s="35"/>
      <c r="L943" s="35"/>
    </row>
    <row r="944" spans="8:12" ht="15">
      <c r="H944" s="34"/>
      <c r="K944" s="35"/>
      <c r="L944" s="35"/>
    </row>
    <row r="945" spans="8:12" ht="15">
      <c r="H945" s="34"/>
      <c r="K945" s="35"/>
      <c r="L945" s="35"/>
    </row>
    <row r="946" spans="8:12" ht="15">
      <c r="H946" s="34"/>
      <c r="K946" s="35"/>
      <c r="L946" s="35"/>
    </row>
    <row r="947" spans="8:12" ht="15">
      <c r="H947" s="34"/>
      <c r="K947" s="35"/>
      <c r="L947" s="35"/>
    </row>
    <row r="948" spans="8:12" ht="15">
      <c r="H948" s="34"/>
      <c r="K948" s="35"/>
      <c r="L948" s="35"/>
    </row>
    <row r="949" spans="8:12" ht="15">
      <c r="H949" s="34"/>
      <c r="K949" s="35"/>
      <c r="L949" s="35"/>
    </row>
    <row r="950" spans="8:12" ht="15">
      <c r="H950" s="34"/>
      <c r="K950" s="35"/>
      <c r="L950" s="35"/>
    </row>
    <row r="951" spans="8:12" ht="15">
      <c r="H951" s="34"/>
      <c r="K951" s="35"/>
      <c r="L951" s="35"/>
    </row>
    <row r="952" spans="8:12" ht="15">
      <c r="H952" s="34"/>
      <c r="K952" s="35"/>
      <c r="L952" s="35"/>
    </row>
    <row r="953" spans="8:12" ht="15">
      <c r="H953" s="34"/>
      <c r="K953" s="35"/>
      <c r="L953" s="35"/>
    </row>
    <row r="954" spans="8:12" ht="15">
      <c r="H954" s="34"/>
      <c r="K954" s="35"/>
      <c r="L954" s="35"/>
    </row>
    <row r="955" spans="8:12" ht="15">
      <c r="H955" s="34"/>
      <c r="K955" s="35"/>
      <c r="L955" s="35"/>
    </row>
    <row r="956" spans="8:12" ht="15">
      <c r="H956" s="34"/>
      <c r="K956" s="35"/>
      <c r="L956" s="35"/>
    </row>
    <row r="957" spans="8:12" ht="15">
      <c r="H957" s="34"/>
      <c r="K957" s="35"/>
      <c r="L957" s="35"/>
    </row>
    <row r="958" spans="8:12" ht="15">
      <c r="H958" s="34"/>
      <c r="K958" s="35"/>
      <c r="L958" s="35"/>
    </row>
    <row r="959" spans="8:12" ht="15">
      <c r="H959" s="34"/>
      <c r="K959" s="35"/>
      <c r="L959" s="35"/>
    </row>
    <row r="960" spans="8:12" ht="15">
      <c r="H960" s="34"/>
      <c r="K960" s="35"/>
      <c r="L960" s="35"/>
    </row>
    <row r="961" spans="8:12" ht="15">
      <c r="H961" s="34"/>
      <c r="K961" s="35"/>
      <c r="L961" s="35"/>
    </row>
    <row r="962" spans="8:12" ht="15">
      <c r="H962" s="34"/>
      <c r="K962" s="35"/>
      <c r="L962" s="35"/>
    </row>
    <row r="963" spans="8:12" ht="15">
      <c r="H963" s="34"/>
      <c r="K963" s="35"/>
      <c r="L963" s="35"/>
    </row>
    <row r="964" spans="8:12" ht="15">
      <c r="H964" s="34"/>
      <c r="K964" s="35"/>
      <c r="L964" s="35"/>
    </row>
    <row r="965" spans="8:12" ht="15">
      <c r="H965" s="34"/>
      <c r="K965" s="35"/>
      <c r="L965" s="35"/>
    </row>
    <row r="966" spans="8:12" ht="15">
      <c r="H966" s="34"/>
      <c r="K966" s="35"/>
      <c r="L966" s="35"/>
    </row>
    <row r="967" spans="8:12" ht="15">
      <c r="H967" s="34"/>
      <c r="K967" s="35"/>
      <c r="L967" s="35"/>
    </row>
    <row r="968" spans="8:12" ht="15">
      <c r="H968" s="34"/>
      <c r="K968" s="35"/>
      <c r="L968" s="35"/>
    </row>
    <row r="969" spans="8:12" ht="15">
      <c r="H969" s="34"/>
      <c r="K969" s="35"/>
      <c r="L969" s="35"/>
    </row>
    <row r="970" spans="8:12" ht="15">
      <c r="H970" s="34"/>
      <c r="K970" s="35"/>
      <c r="L970" s="35"/>
    </row>
    <row r="971" spans="8:12" ht="15">
      <c r="H971" s="34"/>
      <c r="K971" s="35"/>
      <c r="L971" s="35"/>
    </row>
    <row r="972" spans="8:12" ht="15">
      <c r="H972" s="34"/>
      <c r="K972" s="35"/>
      <c r="L972" s="35"/>
    </row>
    <row r="973" spans="8:12" ht="15">
      <c r="H973" s="34"/>
      <c r="K973" s="35"/>
      <c r="L973" s="35"/>
    </row>
    <row r="974" spans="8:12" ht="15">
      <c r="H974" s="34"/>
      <c r="K974" s="35"/>
      <c r="L974" s="35"/>
    </row>
    <row r="975" spans="8:12" ht="15">
      <c r="H975" s="34"/>
      <c r="K975" s="35"/>
      <c r="L975" s="35"/>
    </row>
    <row r="976" spans="8:12" ht="15">
      <c r="H976" s="34"/>
      <c r="K976" s="35"/>
      <c r="L976" s="35"/>
    </row>
    <row r="977" spans="8:12" ht="15">
      <c r="H977" s="34"/>
      <c r="K977" s="35"/>
      <c r="L977" s="35"/>
    </row>
    <row r="978" spans="8:12" ht="15">
      <c r="H978" s="34"/>
      <c r="K978" s="35"/>
      <c r="L978" s="35"/>
    </row>
    <row r="979" spans="8:12" ht="15">
      <c r="H979" s="34"/>
      <c r="K979" s="35"/>
      <c r="L979" s="35"/>
    </row>
    <row r="980" spans="8:12" ht="15">
      <c r="H980" s="34"/>
      <c r="K980" s="35"/>
      <c r="L980" s="35"/>
    </row>
    <row r="981" spans="8:12" ht="15">
      <c r="H981" s="34"/>
      <c r="K981" s="35"/>
      <c r="L981" s="35"/>
    </row>
    <row r="982" spans="8:12" ht="15">
      <c r="H982" s="34"/>
      <c r="K982" s="35"/>
      <c r="L982" s="35"/>
    </row>
    <row r="983" spans="8:12" ht="15">
      <c r="H983" s="34"/>
      <c r="K983" s="35"/>
      <c r="L983" s="35"/>
    </row>
    <row r="984" spans="8:12" ht="15">
      <c r="H984" s="34"/>
      <c r="K984" s="35"/>
      <c r="L984" s="35"/>
    </row>
    <row r="985" spans="8:12" ht="15">
      <c r="H985" s="34"/>
      <c r="K985" s="35"/>
      <c r="L985" s="35"/>
    </row>
    <row r="986" spans="8:12" ht="15">
      <c r="H986" s="34"/>
      <c r="K986" s="35"/>
      <c r="L986" s="35"/>
    </row>
    <row r="987" spans="8:12" ht="15">
      <c r="H987" s="34"/>
      <c r="K987" s="35"/>
      <c r="L987" s="35"/>
    </row>
    <row r="988" spans="8:12" ht="15">
      <c r="H988" s="34"/>
      <c r="K988" s="35"/>
      <c r="L988" s="35"/>
    </row>
    <row r="989" spans="8:12" ht="15">
      <c r="H989" s="34"/>
      <c r="K989" s="35"/>
      <c r="L989" s="35"/>
    </row>
    <row r="990" spans="8:12" ht="15">
      <c r="H990" s="34"/>
      <c r="K990" s="35"/>
      <c r="L990" s="35"/>
    </row>
    <row r="991" spans="8:12" ht="15">
      <c r="H991" s="34"/>
      <c r="K991" s="35"/>
      <c r="L991" s="35"/>
    </row>
    <row r="992" spans="8:12" ht="15">
      <c r="H992" s="34"/>
      <c r="K992" s="35"/>
      <c r="L992" s="35"/>
    </row>
    <row r="993" spans="8:12" ht="15">
      <c r="H993" s="34"/>
      <c r="K993" s="35"/>
      <c r="L993" s="35"/>
    </row>
    <row r="994" spans="8:12" ht="15">
      <c r="H994" s="34"/>
      <c r="K994" s="35"/>
      <c r="L994" s="35"/>
    </row>
    <row r="995" spans="8:12" ht="15">
      <c r="H995" s="34"/>
      <c r="K995" s="35"/>
      <c r="L995" s="35"/>
    </row>
    <row r="996" spans="8:12" ht="15">
      <c r="H996" s="34"/>
      <c r="K996" s="35"/>
      <c r="L996" s="35"/>
    </row>
    <row r="997" spans="8:12" ht="15">
      <c r="H997" s="34"/>
      <c r="K997" s="35"/>
      <c r="L997" s="35"/>
    </row>
    <row r="998" spans="8:12" ht="15">
      <c r="H998" s="34"/>
      <c r="K998" s="35"/>
      <c r="L998" s="35"/>
    </row>
    <row r="999" spans="8:12" ht="15">
      <c r="H999" s="34"/>
      <c r="K999" s="35"/>
      <c r="L999" s="35"/>
    </row>
    <row r="1000" spans="8:12" ht="15">
      <c r="H1000" s="34"/>
      <c r="K1000" s="35"/>
      <c r="L1000" s="35"/>
    </row>
    <row r="1001" spans="8:12" ht="15">
      <c r="H1001" s="34"/>
      <c r="K1001" s="35"/>
      <c r="L1001" s="35"/>
    </row>
    <row r="1002" spans="8:12" ht="15">
      <c r="H1002" s="34"/>
      <c r="K1002" s="35"/>
      <c r="L1002" s="35"/>
    </row>
    <row r="1003" spans="8:12" ht="15">
      <c r="H1003" s="34"/>
      <c r="K1003" s="35"/>
      <c r="L1003" s="35"/>
    </row>
    <row r="1004" spans="8:12" ht="15">
      <c r="H1004" s="34"/>
      <c r="K1004" s="35"/>
      <c r="L1004" s="35"/>
    </row>
    <row r="1005" spans="8:12" ht="15">
      <c r="H1005" s="34"/>
      <c r="K1005" s="35"/>
      <c r="L1005" s="35"/>
    </row>
    <row r="1006" spans="8:12" ht="15">
      <c r="H1006" s="34"/>
      <c r="K1006" s="35"/>
      <c r="L1006" s="35"/>
    </row>
    <row r="1007" spans="8:12" ht="15">
      <c r="H1007" s="34"/>
      <c r="K1007" s="35"/>
      <c r="L1007" s="35"/>
    </row>
    <row r="1008" spans="8:12" ht="15">
      <c r="H1008" s="34"/>
      <c r="K1008" s="35"/>
      <c r="L1008" s="35"/>
    </row>
    <row r="1009" spans="8:12" ht="15">
      <c r="H1009" s="34"/>
      <c r="K1009" s="35"/>
      <c r="L1009" s="35"/>
    </row>
    <row r="1010" spans="8:12" ht="15">
      <c r="H1010" s="34"/>
      <c r="K1010" s="35"/>
      <c r="L1010" s="35"/>
    </row>
    <row r="1011" spans="8:12" ht="15">
      <c r="H1011" s="34"/>
      <c r="K1011" s="35"/>
      <c r="L1011" s="35"/>
    </row>
    <row r="1012" spans="8:12" ht="15">
      <c r="H1012" s="34"/>
      <c r="K1012" s="35"/>
      <c r="L1012" s="35"/>
    </row>
    <row r="1013" spans="8:12" ht="15">
      <c r="H1013" s="34"/>
      <c r="K1013" s="35"/>
      <c r="L1013" s="35"/>
    </row>
    <row r="1014" spans="8:12" ht="15">
      <c r="H1014" s="34"/>
      <c r="K1014" s="35"/>
      <c r="L1014" s="35"/>
    </row>
    <row r="1015" spans="8:12" ht="15">
      <c r="H1015" s="34"/>
      <c r="K1015" s="35"/>
      <c r="L1015" s="35"/>
    </row>
    <row r="1016" spans="8:12" ht="15">
      <c r="H1016" s="34"/>
      <c r="K1016" s="35"/>
      <c r="L1016" s="35"/>
    </row>
    <row r="1017" spans="8:12" ht="15">
      <c r="H1017" s="34"/>
      <c r="K1017" s="35"/>
      <c r="L1017" s="35"/>
    </row>
    <row r="1018" spans="8:12" ht="15">
      <c r="H1018" s="34"/>
      <c r="K1018" s="35"/>
      <c r="L1018" s="35"/>
    </row>
    <row r="1019" spans="8:12" ht="15">
      <c r="H1019" s="34"/>
      <c r="K1019" s="35"/>
      <c r="L1019" s="35"/>
    </row>
  </sheetData>
  <autoFilter ref="A1:T37" xr:uid="{00000000-0001-0000-0000-000000000000}"/>
  <mergeCells count="14">
    <mergeCell ref="T46:W46"/>
    <mergeCell ref="V51:W51"/>
    <mergeCell ref="A31:A36"/>
    <mergeCell ref="A2:A16"/>
    <mergeCell ref="B2:B16"/>
    <mergeCell ref="C2:C16"/>
    <mergeCell ref="D2:D16"/>
    <mergeCell ref="B17:B27"/>
    <mergeCell ref="C17:C27"/>
    <mergeCell ref="D17:D27"/>
    <mergeCell ref="A17:A27"/>
    <mergeCell ref="U32:U33"/>
    <mergeCell ref="V34:V35"/>
    <mergeCell ref="V36:V37"/>
  </mergeCells>
  <hyperlinks>
    <hyperlink ref="A2" r:id="rId1" xr:uid="{00000000-0004-0000-0000-000000000000}"/>
  </hyperlinks>
  <pageMargins left="0" right="0" top="0" bottom="0" header="0" footer="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89961-A975-44E2-8D35-139EB4C7EDC5}">
  <sheetPr>
    <outlinePr summaryBelow="0" summaryRight="0"/>
  </sheetPr>
  <dimension ref="A1:AH1017"/>
  <sheetViews>
    <sheetView workbookViewId="0">
      <pane xSplit="3" ySplit="1" topLeftCell="D29" activePane="bottomRight" state="frozen"/>
      <selection pane="topRight"/>
      <selection pane="bottomLeft" activeCell="A2" sqref="A2"/>
      <selection pane="bottomRight" activeCell="A29" sqref="A29"/>
    </sheetView>
  </sheetViews>
  <sheetFormatPr baseColWidth="10" defaultColWidth="12.5546875" defaultRowHeight="15.75" customHeight="1"/>
  <cols>
    <col min="2" max="2" width="36.5546875" customWidth="1"/>
    <col min="3" max="3" width="58.88671875" customWidth="1"/>
    <col min="4" max="4" width="61.88671875" customWidth="1"/>
    <col min="5" max="5" width="37.109375" customWidth="1"/>
    <col min="6" max="6" width="23" customWidth="1"/>
    <col min="7" max="7" width="44" customWidth="1"/>
    <col min="8" max="11" width="50.6640625" customWidth="1"/>
    <col min="12" max="12" width="53.44140625" customWidth="1"/>
    <col min="13" max="16" width="50.6640625" customWidth="1"/>
    <col min="17" max="17" width="50.6640625" hidden="1" customWidth="1"/>
    <col min="18" max="20" width="50.6640625" customWidth="1"/>
    <col min="21" max="21" width="25.88671875" customWidth="1"/>
    <col min="22" max="22" width="26.88671875" customWidth="1"/>
  </cols>
  <sheetData>
    <row r="1" spans="1:34" ht="16.2">
      <c r="A1" s="1"/>
      <c r="B1" s="2" t="s">
        <v>90</v>
      </c>
      <c r="C1" s="2" t="s">
        <v>91</v>
      </c>
      <c r="D1" s="2" t="s">
        <v>92</v>
      </c>
      <c r="E1" s="2" t="s">
        <v>273</v>
      </c>
      <c r="F1" s="2" t="s">
        <v>93</v>
      </c>
      <c r="G1" s="187" t="s">
        <v>274</v>
      </c>
      <c r="H1" s="156">
        <v>45658</v>
      </c>
      <c r="I1" s="155">
        <v>45689</v>
      </c>
      <c r="J1" s="154">
        <v>45717</v>
      </c>
      <c r="K1" s="62">
        <v>45748</v>
      </c>
      <c r="L1" s="62">
        <v>45778</v>
      </c>
      <c r="M1" s="62">
        <v>45809</v>
      </c>
      <c r="N1" s="62">
        <v>45839</v>
      </c>
      <c r="O1" s="62">
        <v>45870</v>
      </c>
      <c r="P1" s="62">
        <v>45901</v>
      </c>
      <c r="Q1" s="62" t="s">
        <v>275</v>
      </c>
      <c r="R1" s="62">
        <v>45931</v>
      </c>
      <c r="S1" s="62">
        <v>45962</v>
      </c>
      <c r="T1" s="62">
        <v>45992</v>
      </c>
      <c r="U1" s="62" t="s">
        <v>102</v>
      </c>
      <c r="V1" s="62" t="s">
        <v>103</v>
      </c>
    </row>
    <row r="2" spans="1:34" ht="14.25" customHeight="1">
      <c r="A2" s="501" t="s">
        <v>276</v>
      </c>
      <c r="B2" s="159" t="s">
        <v>107</v>
      </c>
      <c r="C2" s="79" t="s">
        <v>108</v>
      </c>
      <c r="D2" s="51" t="s">
        <v>108</v>
      </c>
      <c r="E2" s="175" t="s">
        <v>277</v>
      </c>
      <c r="F2" s="197" t="s">
        <v>109</v>
      </c>
      <c r="G2" s="196">
        <v>18746840</v>
      </c>
      <c r="H2" s="198">
        <v>20653777</v>
      </c>
      <c r="I2" s="60">
        <v>22435922</v>
      </c>
      <c r="J2" s="60">
        <v>23007954</v>
      </c>
      <c r="K2" s="60">
        <v>22532370</v>
      </c>
      <c r="L2" s="61">
        <v>22395025</v>
      </c>
      <c r="M2" s="74">
        <v>20553349</v>
      </c>
      <c r="N2" s="264">
        <v>22438924</v>
      </c>
      <c r="O2" s="264">
        <v>21446288</v>
      </c>
      <c r="P2" s="24">
        <v>22590740</v>
      </c>
      <c r="Q2" s="24">
        <v>20084889</v>
      </c>
      <c r="R2" s="24">
        <v>23267648</v>
      </c>
      <c r="S2" s="264">
        <v>20541342</v>
      </c>
      <c r="T2" s="374">
        <v>18923669</v>
      </c>
      <c r="U2" s="384">
        <f>SUM(H2:T2)</f>
        <v>280871897</v>
      </c>
      <c r="V2" s="384">
        <f t="shared" ref="V2:V11" si="0">AVERAGE(H2:T2)</f>
        <v>21605530.53846154</v>
      </c>
    </row>
    <row r="3" spans="1:34" ht="14.25" customHeight="1">
      <c r="A3" s="501"/>
      <c r="B3" s="160" t="s">
        <v>258</v>
      </c>
      <c r="C3" s="80" t="s">
        <v>111</v>
      </c>
      <c r="D3" s="82" t="s">
        <v>143</v>
      </c>
      <c r="E3" s="6" t="s">
        <v>277</v>
      </c>
      <c r="F3" s="107" t="s">
        <v>109</v>
      </c>
      <c r="G3" s="190" t="s">
        <v>113</v>
      </c>
      <c r="H3" s="201" t="s">
        <v>278</v>
      </c>
      <c r="I3" s="26" t="s">
        <v>279</v>
      </c>
      <c r="J3" s="26" t="s">
        <v>280</v>
      </c>
      <c r="K3" s="69">
        <v>0.83063344631773561</v>
      </c>
      <c r="L3" s="257">
        <v>0.80520000000000003</v>
      </c>
      <c r="M3" s="257">
        <v>0.80879999999999996</v>
      </c>
      <c r="N3" s="259" t="s">
        <v>281</v>
      </c>
      <c r="O3" s="267" t="s">
        <v>282</v>
      </c>
      <c r="P3" s="99" t="s">
        <v>283</v>
      </c>
      <c r="Q3" s="99" t="s">
        <v>284</v>
      </c>
      <c r="R3" s="99" t="s">
        <v>285</v>
      </c>
      <c r="S3" s="267" t="s">
        <v>286</v>
      </c>
      <c r="T3" s="267" t="s">
        <v>287</v>
      </c>
      <c r="U3" s="386"/>
      <c r="V3" s="273">
        <f t="shared" si="0"/>
        <v>0.81487781543924509</v>
      </c>
    </row>
    <row r="4" spans="1:34" ht="14.25" customHeight="1">
      <c r="A4" s="501"/>
      <c r="B4" s="161" t="s">
        <v>115</v>
      </c>
      <c r="C4" s="82" t="s">
        <v>116</v>
      </c>
      <c r="D4" s="82" t="s">
        <v>117</v>
      </c>
      <c r="E4" s="6" t="s">
        <v>277</v>
      </c>
      <c r="F4" s="107" t="s">
        <v>109</v>
      </c>
      <c r="G4" s="188" t="s">
        <v>118</v>
      </c>
      <c r="H4" s="198">
        <v>4040113</v>
      </c>
      <c r="I4" s="74">
        <v>4300449</v>
      </c>
      <c r="J4" s="74">
        <v>4685286</v>
      </c>
      <c r="K4" s="74">
        <v>4785219</v>
      </c>
      <c r="L4" s="43">
        <v>4949988</v>
      </c>
      <c r="M4" s="74">
        <v>4479364</v>
      </c>
      <c r="N4" s="263">
        <v>4497356</v>
      </c>
      <c r="O4" s="264">
        <v>4507602</v>
      </c>
      <c r="P4" s="24">
        <v>5009264</v>
      </c>
      <c r="Q4" s="24">
        <v>4783894</v>
      </c>
      <c r="R4" s="24">
        <v>5315369</v>
      </c>
      <c r="S4" s="264">
        <v>4274490</v>
      </c>
      <c r="T4" s="374">
        <v>4042292</v>
      </c>
      <c r="U4" s="384">
        <f>SUM(H4:T4)</f>
        <v>59670686</v>
      </c>
      <c r="V4" s="384">
        <f t="shared" si="0"/>
        <v>4590052.769230769</v>
      </c>
    </row>
    <row r="5" spans="1:34" ht="14.25" customHeight="1">
      <c r="A5" s="501"/>
      <c r="B5" s="162" t="s">
        <v>129</v>
      </c>
      <c r="C5" s="82" t="s">
        <v>130</v>
      </c>
      <c r="D5" s="82" t="s">
        <v>117</v>
      </c>
      <c r="E5" s="6" t="s">
        <v>277</v>
      </c>
      <c r="F5" s="107" t="s">
        <v>109</v>
      </c>
      <c r="G5" s="188" t="s">
        <v>131</v>
      </c>
      <c r="H5" s="198">
        <v>3846125</v>
      </c>
      <c r="I5" s="74">
        <v>4095874</v>
      </c>
      <c r="J5" s="74">
        <v>4478522</v>
      </c>
      <c r="K5" s="74">
        <v>4592491</v>
      </c>
      <c r="L5" s="43">
        <v>4765028</v>
      </c>
      <c r="M5" s="74">
        <v>4262366</v>
      </c>
      <c r="N5" s="263">
        <v>4284093</v>
      </c>
      <c r="O5" s="263">
        <v>4312541</v>
      </c>
      <c r="P5" s="24">
        <v>4809692</v>
      </c>
      <c r="Q5" s="24">
        <v>4561042</v>
      </c>
      <c r="R5" s="24">
        <v>5092682</v>
      </c>
      <c r="S5" s="263">
        <v>4035628</v>
      </c>
      <c r="T5" s="375">
        <v>3830583</v>
      </c>
      <c r="U5" s="384">
        <f>SUM(H5:T5)</f>
        <v>56966667</v>
      </c>
      <c r="V5" s="384">
        <f t="shared" si="0"/>
        <v>4382051.307692308</v>
      </c>
      <c r="X5" s="132"/>
      <c r="Y5" s="65"/>
      <c r="Z5" s="65"/>
      <c r="AA5" s="65"/>
      <c r="AB5" s="133"/>
      <c r="AC5" s="65"/>
      <c r="AD5" s="65"/>
      <c r="AE5" s="65"/>
      <c r="AF5" s="65"/>
      <c r="AG5" s="65"/>
      <c r="AH5" s="65"/>
    </row>
    <row r="6" spans="1:34" ht="14.25" customHeight="1">
      <c r="A6" s="501"/>
      <c r="B6" s="161" t="s">
        <v>137</v>
      </c>
      <c r="C6" s="82" t="s">
        <v>138</v>
      </c>
      <c r="D6" s="82" t="s">
        <v>117</v>
      </c>
      <c r="E6" s="6" t="s">
        <v>277</v>
      </c>
      <c r="F6" s="107" t="s">
        <v>109</v>
      </c>
      <c r="G6" s="196">
        <v>7005542</v>
      </c>
      <c r="H6" s="199">
        <v>7171733</v>
      </c>
      <c r="I6" s="43">
        <v>7665464</v>
      </c>
      <c r="J6" s="43">
        <v>8489643</v>
      </c>
      <c r="K6" s="43">
        <v>8653822</v>
      </c>
      <c r="L6" s="43">
        <v>8918527</v>
      </c>
      <c r="M6" s="74">
        <v>7988399</v>
      </c>
      <c r="N6" s="263">
        <v>8221630</v>
      </c>
      <c r="O6" s="264">
        <v>8223042</v>
      </c>
      <c r="P6" s="24">
        <v>8832496</v>
      </c>
      <c r="Q6" s="24">
        <v>8417933</v>
      </c>
      <c r="R6" s="24">
        <v>9583294</v>
      </c>
      <c r="S6" s="264">
        <v>7706243</v>
      </c>
      <c r="T6" s="374">
        <v>7261970</v>
      </c>
      <c r="U6" s="384">
        <f>SUM(H6:T6)</f>
        <v>107134196</v>
      </c>
      <c r="V6" s="396">
        <f t="shared" si="0"/>
        <v>8241092</v>
      </c>
    </row>
    <row r="7" spans="1:34" ht="14.25" customHeight="1">
      <c r="A7" s="501"/>
      <c r="B7" s="161" t="s">
        <v>139</v>
      </c>
      <c r="C7" s="82" t="s">
        <v>140</v>
      </c>
      <c r="D7" s="82" t="s">
        <v>288</v>
      </c>
      <c r="E7" s="6" t="s">
        <v>277</v>
      </c>
      <c r="F7" s="107" t="s">
        <v>109</v>
      </c>
      <c r="G7" s="195">
        <v>2.9745370370370373E-3</v>
      </c>
      <c r="H7" s="244">
        <v>2.9166666666666668E-3</v>
      </c>
      <c r="I7" s="244">
        <v>3.2060185185185186E-3</v>
      </c>
      <c r="J7" s="244">
        <v>3.1250000000000002E-3</v>
      </c>
      <c r="K7" s="244">
        <v>3.0555555555555557E-3</v>
      </c>
      <c r="L7" s="45">
        <v>2.9050925925925928E-3</v>
      </c>
      <c r="M7" s="45">
        <v>3.0324074074074073E-3</v>
      </c>
      <c r="N7" s="265">
        <v>2.9976851851851853E-3</v>
      </c>
      <c r="O7" s="269">
        <v>2.8124999999999999E-3</v>
      </c>
      <c r="P7" s="270">
        <v>2.7893518518518519E-3</v>
      </c>
      <c r="Q7" s="270">
        <v>2.4421296296296296E-3</v>
      </c>
      <c r="R7" s="270">
        <v>2.5578703703703705E-3</v>
      </c>
      <c r="S7" s="265">
        <v>2.7083333333333334E-3</v>
      </c>
      <c r="T7" s="376">
        <v>2.5462962962962965E-3</v>
      </c>
      <c r="U7" s="376">
        <f>SUM(H7:T7)</f>
        <v>3.709490740740741E-2</v>
      </c>
      <c r="V7" s="393">
        <f t="shared" si="0"/>
        <v>2.8534544159544159E-3</v>
      </c>
    </row>
    <row r="8" spans="1:34" ht="14.25" customHeight="1">
      <c r="A8" s="501"/>
      <c r="B8" s="161" t="s">
        <v>289</v>
      </c>
      <c r="C8" s="82" t="s">
        <v>142</v>
      </c>
      <c r="D8" s="82" t="s">
        <v>143</v>
      </c>
      <c r="E8" s="6" t="s">
        <v>277</v>
      </c>
      <c r="F8" s="107" t="s">
        <v>109</v>
      </c>
      <c r="G8" s="189" t="s">
        <v>145</v>
      </c>
      <c r="H8" s="200" t="s">
        <v>290</v>
      </c>
      <c r="I8" s="200">
        <v>2.861E-2</v>
      </c>
      <c r="J8" s="200">
        <v>1.245E-3</v>
      </c>
      <c r="K8" s="11">
        <v>1.5042E-2</v>
      </c>
      <c r="L8" s="11">
        <v>2.8400000000000002E-2</v>
      </c>
      <c r="M8" s="259">
        <v>0</v>
      </c>
      <c r="N8" s="259">
        <v>3.7199999999999999E-4</v>
      </c>
      <c r="O8" s="279">
        <v>1.5790000000000001E-3</v>
      </c>
      <c r="P8" s="9">
        <v>1.1E-5</v>
      </c>
      <c r="Q8" s="9">
        <v>3.0800000000000001E-4</v>
      </c>
      <c r="R8" s="9">
        <v>3.0800000000000001E-4</v>
      </c>
      <c r="S8" s="282">
        <v>2.2880000000000001E-3</v>
      </c>
      <c r="T8" s="271">
        <v>6.2E-4</v>
      </c>
      <c r="U8" s="390"/>
      <c r="V8" s="394">
        <f t="shared" si="0"/>
        <v>6.565249999999999E-3</v>
      </c>
      <c r="AB8" s="129"/>
    </row>
    <row r="9" spans="1:34" ht="14.25" customHeight="1">
      <c r="A9" s="501"/>
      <c r="B9" s="162" t="s">
        <v>291</v>
      </c>
      <c r="C9" s="82" t="s">
        <v>146</v>
      </c>
      <c r="D9" s="82" t="s">
        <v>147</v>
      </c>
      <c r="E9" s="6" t="s">
        <v>277</v>
      </c>
      <c r="F9" s="107" t="s">
        <v>109</v>
      </c>
      <c r="G9" s="222">
        <v>2.0011574074074074E-2</v>
      </c>
      <c r="H9" s="244">
        <v>2.4849537037037038E-2</v>
      </c>
      <c r="I9" s="244">
        <v>0.78226851851851853</v>
      </c>
      <c r="J9" s="244">
        <v>3.484953703703704E-2</v>
      </c>
      <c r="K9" s="244">
        <v>9.0034722222222224E-2</v>
      </c>
      <c r="L9" s="244">
        <v>0</v>
      </c>
      <c r="M9" s="258">
        <v>0</v>
      </c>
      <c r="N9" s="259">
        <v>0</v>
      </c>
      <c r="O9" s="280">
        <v>0</v>
      </c>
      <c r="P9" s="47">
        <v>0</v>
      </c>
      <c r="Q9" s="47">
        <v>0</v>
      </c>
      <c r="R9" s="101">
        <v>0</v>
      </c>
      <c r="S9" s="283">
        <v>0</v>
      </c>
      <c r="T9" s="377">
        <v>0</v>
      </c>
      <c r="U9" s="390"/>
      <c r="V9" s="395">
        <f t="shared" si="0"/>
        <v>7.1692485754985755E-2</v>
      </c>
    </row>
    <row r="10" spans="1:34" ht="17.25" customHeight="1">
      <c r="A10" s="501"/>
      <c r="B10" s="162" t="s">
        <v>292</v>
      </c>
      <c r="C10" s="82" t="s">
        <v>149</v>
      </c>
      <c r="D10" s="82" t="s">
        <v>150</v>
      </c>
      <c r="E10" s="6" t="s">
        <v>277</v>
      </c>
      <c r="F10" s="107" t="s">
        <v>109</v>
      </c>
      <c r="G10" s="190" t="s">
        <v>158</v>
      </c>
      <c r="H10" s="201" t="s">
        <v>293</v>
      </c>
      <c r="I10" s="16" t="s">
        <v>294</v>
      </c>
      <c r="J10" s="16" t="s">
        <v>295</v>
      </c>
      <c r="K10" s="16">
        <v>0.37673830594184576</v>
      </c>
      <c r="L10" s="50">
        <v>0.32066508313539199</v>
      </c>
      <c r="M10" s="50">
        <v>0.2959</v>
      </c>
      <c r="N10" s="259" t="s">
        <v>296</v>
      </c>
      <c r="O10" s="281" t="s">
        <v>297</v>
      </c>
      <c r="P10" s="15" t="s">
        <v>298</v>
      </c>
      <c r="Q10" s="268" t="s">
        <v>299</v>
      </c>
      <c r="R10" s="15" t="s">
        <v>300</v>
      </c>
      <c r="S10" s="284" t="s">
        <v>301</v>
      </c>
      <c r="T10" s="281" t="s">
        <v>302</v>
      </c>
      <c r="U10" s="390"/>
      <c r="V10" s="394">
        <f t="shared" si="0"/>
        <v>0.33110112969241262</v>
      </c>
      <c r="W10" s="133"/>
      <c r="X10" s="133"/>
      <c r="Y10" s="133"/>
      <c r="Z10" s="133"/>
      <c r="AA10" s="133"/>
      <c r="AB10" s="65"/>
      <c r="AC10" s="65"/>
      <c r="AD10" s="65"/>
      <c r="AE10" s="65"/>
      <c r="AF10" s="65"/>
      <c r="AG10" s="65"/>
      <c r="AH10" s="130"/>
    </row>
    <row r="11" spans="1:34" ht="18" customHeight="1">
      <c r="A11" s="502"/>
      <c r="B11" s="208" t="s">
        <v>303</v>
      </c>
      <c r="C11" s="83" t="s">
        <v>161</v>
      </c>
      <c r="D11" s="83" t="s">
        <v>150</v>
      </c>
      <c r="E11" s="56" t="s">
        <v>277</v>
      </c>
      <c r="F11" s="144" t="s">
        <v>109</v>
      </c>
      <c r="G11" s="190" t="s">
        <v>166</v>
      </c>
      <c r="H11" s="201" t="s">
        <v>304</v>
      </c>
      <c r="I11" s="209" t="s">
        <v>305</v>
      </c>
      <c r="J11" s="209" t="s">
        <v>306</v>
      </c>
      <c r="K11" s="209">
        <v>0.84700811821581679</v>
      </c>
      <c r="L11" s="256">
        <v>0.82410000000000005</v>
      </c>
      <c r="M11" s="256">
        <v>0.82379999999999998</v>
      </c>
      <c r="N11" s="259" t="s">
        <v>307</v>
      </c>
      <c r="O11" s="268" t="s">
        <v>308</v>
      </c>
      <c r="P11" s="285" t="s">
        <v>309</v>
      </c>
      <c r="Q11" s="267" t="s">
        <v>310</v>
      </c>
      <c r="R11" s="286" t="s">
        <v>311</v>
      </c>
      <c r="S11" s="268" t="s">
        <v>312</v>
      </c>
      <c r="T11" s="281" t="s">
        <v>281</v>
      </c>
      <c r="U11" s="390"/>
      <c r="V11" s="394">
        <f t="shared" si="0"/>
        <v>0.83163603940527231</v>
      </c>
    </row>
    <row r="12" spans="1:34" ht="14.25" customHeight="1">
      <c r="A12" s="503"/>
      <c r="B12" s="160" t="s">
        <v>183</v>
      </c>
      <c r="C12" s="80" t="s">
        <v>313</v>
      </c>
      <c r="D12" s="80" t="s">
        <v>313</v>
      </c>
      <c r="E12" s="27" t="s">
        <v>314</v>
      </c>
      <c r="F12" s="25" t="s">
        <v>109</v>
      </c>
      <c r="G12" s="188" t="s">
        <v>182</v>
      </c>
      <c r="H12" s="199">
        <v>334920</v>
      </c>
      <c r="I12" s="26"/>
      <c r="J12" s="26"/>
      <c r="K12" s="26"/>
      <c r="L12" s="27"/>
      <c r="M12" s="26"/>
      <c r="N12" s="27"/>
      <c r="O12" s="26"/>
      <c r="P12" s="27"/>
      <c r="Q12" s="27"/>
      <c r="R12" s="27"/>
      <c r="S12" s="26"/>
      <c r="T12" s="26"/>
      <c r="U12" s="385"/>
      <c r="V12" s="385"/>
    </row>
    <row r="13" spans="1:34" ht="14.25" customHeight="1">
      <c r="A13" s="501"/>
      <c r="B13" s="161" t="s">
        <v>315</v>
      </c>
      <c r="C13" s="82" t="s">
        <v>316</v>
      </c>
      <c r="D13" s="82" t="s">
        <v>316</v>
      </c>
      <c r="E13" s="6" t="s">
        <v>317</v>
      </c>
      <c r="F13" s="107"/>
      <c r="G13" s="188"/>
      <c r="H13" s="163">
        <v>1</v>
      </c>
      <c r="I13" s="8"/>
      <c r="J13" s="8"/>
      <c r="K13" s="8"/>
      <c r="L13" s="6"/>
      <c r="M13" s="8"/>
      <c r="N13" s="6"/>
      <c r="O13" s="8"/>
      <c r="P13" s="6"/>
      <c r="Q13" s="6"/>
      <c r="R13" s="6"/>
      <c r="S13" s="8"/>
      <c r="T13" s="8"/>
      <c r="U13" s="289"/>
      <c r="V13" s="289"/>
    </row>
    <row r="14" spans="1:34" ht="14.25" customHeight="1">
      <c r="A14" s="501"/>
      <c r="B14" s="206" t="s">
        <v>318</v>
      </c>
      <c r="C14" s="82" t="s">
        <v>319</v>
      </c>
      <c r="D14" s="82" t="s">
        <v>319</v>
      </c>
      <c r="E14" s="6" t="s">
        <v>317</v>
      </c>
      <c r="F14" s="107"/>
      <c r="G14" s="188"/>
      <c r="H14" s="163"/>
      <c r="I14" s="8"/>
      <c r="J14" s="8"/>
      <c r="K14" s="8"/>
      <c r="L14" s="6"/>
      <c r="M14" s="8"/>
      <c r="N14" s="6"/>
      <c r="O14" s="8"/>
      <c r="P14" s="6"/>
      <c r="Q14" s="6"/>
      <c r="R14" s="6"/>
      <c r="S14" s="8"/>
      <c r="T14" s="8"/>
      <c r="U14" s="289"/>
      <c r="V14" s="289"/>
    </row>
    <row r="15" spans="1:34" ht="145.5" customHeight="1">
      <c r="A15" s="504"/>
      <c r="B15" s="211" t="s">
        <v>186</v>
      </c>
      <c r="C15" s="212" t="s">
        <v>320</v>
      </c>
      <c r="D15" s="213" t="s">
        <v>321</v>
      </c>
      <c r="E15" s="214" t="s">
        <v>277</v>
      </c>
      <c r="F15" s="215" t="s">
        <v>109</v>
      </c>
      <c r="G15" s="216"/>
      <c r="H15" s="246" t="s">
        <v>322</v>
      </c>
      <c r="I15" s="252" t="s">
        <v>323</v>
      </c>
      <c r="J15" s="252" t="s">
        <v>324</v>
      </c>
      <c r="K15" s="210" t="s">
        <v>325</v>
      </c>
      <c r="L15" s="255" t="s">
        <v>326</v>
      </c>
      <c r="M15" s="210" t="s">
        <v>327</v>
      </c>
      <c r="N15" s="255" t="s">
        <v>328</v>
      </c>
      <c r="O15" s="255" t="s">
        <v>329</v>
      </c>
      <c r="P15" s="217" t="s">
        <v>330</v>
      </c>
      <c r="Q15" s="217" t="s">
        <v>331</v>
      </c>
      <c r="R15" s="217" t="s">
        <v>332</v>
      </c>
      <c r="S15" s="217" t="s">
        <v>333</v>
      </c>
      <c r="T15" s="378" t="s">
        <v>334</v>
      </c>
      <c r="U15" s="289"/>
      <c r="V15" s="387"/>
      <c r="W15" s="131"/>
    </row>
    <row r="16" spans="1:34" ht="14.25" customHeight="1">
      <c r="A16" s="505" t="s">
        <v>193</v>
      </c>
      <c r="B16" s="207" t="s">
        <v>1</v>
      </c>
      <c r="C16" s="22" t="s">
        <v>194</v>
      </c>
      <c r="D16" s="169" t="s">
        <v>195</v>
      </c>
      <c r="E16" s="27" t="s">
        <v>277</v>
      </c>
      <c r="F16" s="26" t="s">
        <v>109</v>
      </c>
      <c r="G16" s="219">
        <v>1952941</v>
      </c>
      <c r="H16" s="238">
        <v>2301980</v>
      </c>
      <c r="I16" s="65">
        <v>2378329</v>
      </c>
      <c r="J16" s="66">
        <v>2484907</v>
      </c>
      <c r="K16" s="66">
        <v>2416141</v>
      </c>
      <c r="L16" s="67">
        <v>2345936</v>
      </c>
      <c r="M16" s="74">
        <v>1683581</v>
      </c>
      <c r="N16" s="85">
        <v>3170424</v>
      </c>
      <c r="O16" s="85">
        <v>3190729</v>
      </c>
      <c r="P16" s="85">
        <v>3296654</v>
      </c>
      <c r="Q16" s="85">
        <v>2773667</v>
      </c>
      <c r="R16" s="85">
        <v>3224448</v>
      </c>
      <c r="S16" s="272">
        <v>3227113</v>
      </c>
      <c r="T16" s="379">
        <v>2886971</v>
      </c>
      <c r="U16" s="379">
        <f>SUM(H16:T16)</f>
        <v>35380880</v>
      </c>
      <c r="V16" s="272">
        <f>AVERAGE(H16:T16)</f>
        <v>2721606.153846154</v>
      </c>
    </row>
    <row r="17" spans="1:33" ht="14.25" customHeight="1">
      <c r="A17" s="505"/>
      <c r="B17" s="160" t="s">
        <v>2</v>
      </c>
      <c r="C17" s="22" t="s">
        <v>196</v>
      </c>
      <c r="D17" s="169" t="s">
        <v>197</v>
      </c>
      <c r="E17" s="6" t="s">
        <v>277</v>
      </c>
      <c r="F17" s="8" t="s">
        <v>109</v>
      </c>
      <c r="G17" s="240">
        <v>896094</v>
      </c>
      <c r="H17" s="239">
        <v>986596</v>
      </c>
      <c r="I17" s="218">
        <v>1125762</v>
      </c>
      <c r="J17" s="24">
        <v>1071346</v>
      </c>
      <c r="K17" s="24">
        <v>1208070.5</v>
      </c>
      <c r="L17" s="24">
        <v>1120436</v>
      </c>
      <c r="M17" s="74">
        <v>943891</v>
      </c>
      <c r="N17" s="74">
        <v>1129852</v>
      </c>
      <c r="O17" s="24">
        <v>1011346</v>
      </c>
      <c r="P17" s="96">
        <v>1033347</v>
      </c>
      <c r="Q17" s="96">
        <v>998907</v>
      </c>
      <c r="R17" s="145">
        <v>1090278</v>
      </c>
      <c r="S17" s="272">
        <v>1162379</v>
      </c>
      <c r="T17" s="379">
        <v>1125795</v>
      </c>
      <c r="U17" s="379">
        <f>SUM(H17:T17)</f>
        <v>14008005.5</v>
      </c>
      <c r="V17" s="388">
        <f>AVERAGE(H17:T17)</f>
        <v>1077538.8846153845</v>
      </c>
    </row>
    <row r="18" spans="1:33" ht="14.25" customHeight="1">
      <c r="A18" s="505"/>
      <c r="B18" s="248" t="s">
        <v>240</v>
      </c>
      <c r="C18" s="22" t="s">
        <v>241</v>
      </c>
      <c r="D18" s="169" t="s">
        <v>242</v>
      </c>
      <c r="E18" s="6" t="s">
        <v>277</v>
      </c>
      <c r="F18" s="8" t="s">
        <v>109</v>
      </c>
      <c r="G18" s="240">
        <v>1247714</v>
      </c>
      <c r="H18" s="239">
        <v>1461979</v>
      </c>
      <c r="I18" s="218">
        <v>1557998</v>
      </c>
      <c r="J18" s="24">
        <v>1641451</v>
      </c>
      <c r="K18" s="24">
        <v>1533209</v>
      </c>
      <c r="L18" s="24">
        <v>1346047</v>
      </c>
      <c r="M18" s="24">
        <v>935854</v>
      </c>
      <c r="N18" s="74">
        <v>2206757</v>
      </c>
      <c r="O18" s="24">
        <v>2173383</v>
      </c>
      <c r="P18" s="96">
        <v>2352236</v>
      </c>
      <c r="Q18" s="96">
        <v>1954643</v>
      </c>
      <c r="R18" s="145">
        <v>2261937</v>
      </c>
      <c r="S18" s="272">
        <v>2288680</v>
      </c>
      <c r="T18" s="379">
        <v>1968414</v>
      </c>
      <c r="U18" s="379">
        <f>SUM(H18:T18)</f>
        <v>23682588</v>
      </c>
      <c r="V18" s="379">
        <f t="shared" ref="V18:V20" si="1">AVERAGE(H18:T18)</f>
        <v>1821737.5384615385</v>
      </c>
    </row>
    <row r="19" spans="1:33" ht="14.25" customHeight="1">
      <c r="A19" s="505"/>
      <c r="B19" s="248" t="s">
        <v>237</v>
      </c>
      <c r="C19" s="22" t="s">
        <v>238</v>
      </c>
      <c r="D19" s="169" t="s">
        <v>239</v>
      </c>
      <c r="E19" s="6" t="s">
        <v>277</v>
      </c>
      <c r="F19" s="8" t="s">
        <v>109</v>
      </c>
      <c r="G19" s="240">
        <v>1276393</v>
      </c>
      <c r="H19" s="239">
        <v>1500646</v>
      </c>
      <c r="I19" s="218">
        <v>1601171</v>
      </c>
      <c r="J19" s="24">
        <v>1687908</v>
      </c>
      <c r="K19" s="24">
        <v>1585950</v>
      </c>
      <c r="L19" s="24">
        <v>1394520</v>
      </c>
      <c r="M19" s="74">
        <v>971337</v>
      </c>
      <c r="N19" s="74">
        <v>2258763</v>
      </c>
      <c r="O19" s="24">
        <v>2235097</v>
      </c>
      <c r="P19" s="96">
        <v>2406917</v>
      </c>
      <c r="Q19" s="96">
        <v>2001168</v>
      </c>
      <c r="R19" s="145">
        <v>2317368</v>
      </c>
      <c r="S19" s="272">
        <v>2342413</v>
      </c>
      <c r="T19" s="379">
        <v>2011158</v>
      </c>
      <c r="U19" s="379">
        <f t="shared" ref="U19:U20" si="2">SUM(H19:T19)</f>
        <v>24314416</v>
      </c>
      <c r="V19" s="379">
        <f t="shared" si="1"/>
        <v>1870339.6923076923</v>
      </c>
    </row>
    <row r="20" spans="1:33" ht="14.25" customHeight="1">
      <c r="A20" s="505"/>
      <c r="B20" s="248" t="s">
        <v>234</v>
      </c>
      <c r="C20" s="22" t="s">
        <v>235</v>
      </c>
      <c r="D20" s="169" t="s">
        <v>236</v>
      </c>
      <c r="E20" s="27" t="s">
        <v>277</v>
      </c>
      <c r="F20" s="26" t="s">
        <v>109</v>
      </c>
      <c r="G20" s="240">
        <v>1736288</v>
      </c>
      <c r="H20" s="239">
        <v>2070914</v>
      </c>
      <c r="I20" s="218">
        <v>2291532</v>
      </c>
      <c r="J20" s="239">
        <v>2315202</v>
      </c>
      <c r="K20" s="24">
        <v>2190315</v>
      </c>
      <c r="L20" s="24">
        <v>2042865</v>
      </c>
      <c r="M20" s="74">
        <v>1359914</v>
      </c>
      <c r="N20" s="74">
        <v>2756653</v>
      </c>
      <c r="O20" s="6" t="s">
        <v>4</v>
      </c>
      <c r="P20" s="96">
        <v>3125538</v>
      </c>
      <c r="Q20" s="96">
        <v>2560338</v>
      </c>
      <c r="R20" s="145">
        <v>2975206</v>
      </c>
      <c r="S20" s="272">
        <v>2920514</v>
      </c>
      <c r="T20" s="379">
        <v>2584653</v>
      </c>
      <c r="U20" s="379">
        <f t="shared" si="2"/>
        <v>29193644</v>
      </c>
      <c r="V20" s="379">
        <f t="shared" si="1"/>
        <v>2432803.6666666665</v>
      </c>
    </row>
    <row r="21" spans="1:33" ht="14.25" hidden="1" customHeight="1">
      <c r="A21" s="505"/>
      <c r="B21" s="251" t="s">
        <v>208</v>
      </c>
      <c r="C21" s="22" t="s">
        <v>209</v>
      </c>
      <c r="D21" s="169" t="s">
        <v>335</v>
      </c>
      <c r="E21" s="6" t="s">
        <v>336</v>
      </c>
      <c r="F21" s="6" t="s">
        <v>109</v>
      </c>
      <c r="G21" s="241">
        <v>1005</v>
      </c>
      <c r="H21" s="239">
        <v>1020</v>
      </c>
      <c r="I21" s="239">
        <v>1035</v>
      </c>
      <c r="J21" s="239">
        <v>1045</v>
      </c>
      <c r="K21" s="239"/>
      <c r="L21" s="6"/>
      <c r="M21" s="6"/>
      <c r="N21" s="8"/>
      <c r="O21" s="6"/>
      <c r="P21" s="163"/>
      <c r="Q21" s="163"/>
      <c r="R21" s="8"/>
      <c r="S21" s="137"/>
      <c r="T21" s="368"/>
      <c r="U21" s="289"/>
      <c r="V21" s="289"/>
      <c r="W21" s="65"/>
      <c r="X21" s="65"/>
      <c r="Y21" s="65"/>
      <c r="Z21" s="65"/>
      <c r="AA21" s="65"/>
      <c r="AB21" s="65"/>
      <c r="AC21" s="65"/>
      <c r="AD21" s="65"/>
      <c r="AE21" s="65"/>
      <c r="AF21" s="65"/>
      <c r="AG21" s="65"/>
    </row>
    <row r="22" spans="1:33" ht="14.25" customHeight="1">
      <c r="A22" s="505"/>
      <c r="B22" s="248" t="s">
        <v>337</v>
      </c>
      <c r="C22" s="22" t="s">
        <v>338</v>
      </c>
      <c r="D22" s="249" t="s">
        <v>339</v>
      </c>
      <c r="E22" s="6" t="s">
        <v>277</v>
      </c>
      <c r="F22" s="6" t="s">
        <v>109</v>
      </c>
      <c r="G22" s="242">
        <v>673</v>
      </c>
      <c r="H22" s="24">
        <v>674</v>
      </c>
      <c r="I22" s="24">
        <v>680</v>
      </c>
      <c r="J22" s="24">
        <v>680</v>
      </c>
      <c r="K22" s="24">
        <v>685</v>
      </c>
      <c r="L22" s="6">
        <v>688</v>
      </c>
      <c r="M22" s="6">
        <v>697</v>
      </c>
      <c r="N22" s="8">
        <v>696</v>
      </c>
      <c r="O22" s="6">
        <v>707</v>
      </c>
      <c r="P22" s="163">
        <v>715</v>
      </c>
      <c r="Q22" s="163">
        <v>716</v>
      </c>
      <c r="R22" s="8">
        <v>717</v>
      </c>
      <c r="S22" s="6">
        <v>718</v>
      </c>
      <c r="T22" s="8">
        <v>724</v>
      </c>
      <c r="U22" s="386"/>
      <c r="V22" s="386"/>
      <c r="W22" s="65"/>
      <c r="X22" s="65"/>
      <c r="Y22" s="65"/>
      <c r="Z22" s="65"/>
      <c r="AA22" s="65"/>
      <c r="AB22" s="65"/>
      <c r="AC22" s="65"/>
      <c r="AD22" s="65"/>
      <c r="AE22" s="65"/>
      <c r="AF22" s="65"/>
      <c r="AG22" s="65"/>
    </row>
    <row r="23" spans="1:33" ht="14.25" customHeight="1">
      <c r="A23" s="505"/>
      <c r="B23" s="160" t="s">
        <v>340</v>
      </c>
      <c r="C23" s="22" t="s">
        <v>341</v>
      </c>
      <c r="D23" s="249" t="s">
        <v>342</v>
      </c>
      <c r="E23" s="6" t="s">
        <v>277</v>
      </c>
      <c r="F23" s="6" t="s">
        <v>109</v>
      </c>
      <c r="G23" s="242">
        <v>583</v>
      </c>
      <c r="H23" s="24">
        <v>584</v>
      </c>
      <c r="I23" s="24">
        <v>589</v>
      </c>
      <c r="J23" s="24">
        <v>595</v>
      </c>
      <c r="K23" s="6">
        <v>601</v>
      </c>
      <c r="L23" s="6">
        <v>603</v>
      </c>
      <c r="M23" s="6">
        <v>611</v>
      </c>
      <c r="N23" s="8">
        <v>610</v>
      </c>
      <c r="O23" s="6">
        <v>616</v>
      </c>
      <c r="P23" s="163">
        <v>624</v>
      </c>
      <c r="Q23" s="163">
        <v>625</v>
      </c>
      <c r="R23" s="6">
        <v>626</v>
      </c>
      <c r="S23" s="27">
        <v>625</v>
      </c>
      <c r="T23" s="26">
        <v>632</v>
      </c>
      <c r="U23" s="386"/>
      <c r="V23" s="386"/>
      <c r="W23" s="65"/>
      <c r="X23" s="65"/>
      <c r="Y23" s="65"/>
      <c r="Z23" s="65"/>
      <c r="AA23" s="65"/>
      <c r="AB23" s="65"/>
      <c r="AC23" s="65"/>
      <c r="AD23" s="65"/>
      <c r="AE23" s="65"/>
      <c r="AF23" s="65"/>
      <c r="AG23" s="65"/>
    </row>
    <row r="24" spans="1:33" ht="14.25" customHeight="1">
      <c r="A24" s="505"/>
      <c r="B24" s="250" t="s">
        <v>201</v>
      </c>
      <c r="C24" s="22" t="s">
        <v>202</v>
      </c>
      <c r="D24" s="169" t="s">
        <v>343</v>
      </c>
      <c r="E24" s="6" t="s">
        <v>201</v>
      </c>
      <c r="F24" s="6" t="s">
        <v>109</v>
      </c>
      <c r="G24" s="242">
        <v>84</v>
      </c>
      <c r="H24" s="239">
        <v>85</v>
      </c>
      <c r="I24" s="163">
        <v>86</v>
      </c>
      <c r="J24" s="6">
        <v>88</v>
      </c>
      <c r="K24" s="6">
        <v>91</v>
      </c>
      <c r="L24" s="6">
        <v>92</v>
      </c>
      <c r="M24" s="6">
        <v>94</v>
      </c>
      <c r="N24" s="8"/>
      <c r="O24" s="6">
        <v>99</v>
      </c>
      <c r="P24" s="163">
        <v>100</v>
      </c>
      <c r="Q24" s="163"/>
      <c r="R24" s="6">
        <v>101</v>
      </c>
      <c r="S24" s="145">
        <v>95</v>
      </c>
      <c r="T24" s="369">
        <v>95</v>
      </c>
      <c r="U24" s="386"/>
      <c r="V24" s="386"/>
    </row>
    <row r="25" spans="1:33" ht="14.25" customHeight="1">
      <c r="A25" s="505"/>
      <c r="B25" s="250" t="s">
        <v>344</v>
      </c>
      <c r="C25" s="22" t="s">
        <v>206</v>
      </c>
      <c r="D25" s="169" t="s">
        <v>345</v>
      </c>
      <c r="E25" s="6" t="s">
        <v>201</v>
      </c>
      <c r="F25" s="6" t="s">
        <v>109</v>
      </c>
      <c r="G25" s="242">
        <v>62</v>
      </c>
      <c r="H25" s="239">
        <v>63</v>
      </c>
      <c r="I25" s="163">
        <v>64</v>
      </c>
      <c r="J25" s="6">
        <v>66</v>
      </c>
      <c r="K25" s="6">
        <v>69</v>
      </c>
      <c r="L25" s="6">
        <v>70</v>
      </c>
      <c r="M25" s="6">
        <v>72</v>
      </c>
      <c r="N25" s="6"/>
      <c r="O25" s="27">
        <v>73</v>
      </c>
      <c r="P25" s="6">
        <v>74</v>
      </c>
      <c r="Q25" s="6"/>
      <c r="R25" s="6">
        <v>75</v>
      </c>
      <c r="S25" s="145">
        <v>69</v>
      </c>
      <c r="T25" s="369">
        <v>69</v>
      </c>
      <c r="U25" s="386"/>
      <c r="V25" s="386"/>
      <c r="X25" s="129"/>
    </row>
    <row r="26" spans="1:33" ht="173.25" customHeight="1">
      <c r="A26" s="505"/>
      <c r="B26" s="160" t="s">
        <v>211</v>
      </c>
      <c r="C26" s="170" t="s">
        <v>346</v>
      </c>
      <c r="D26" s="173" t="s">
        <v>213</v>
      </c>
      <c r="E26" s="7" t="s">
        <v>277</v>
      </c>
      <c r="F26" s="39" t="s">
        <v>109</v>
      </c>
      <c r="G26" s="191" t="s">
        <v>217</v>
      </c>
      <c r="H26" s="245" t="s">
        <v>347</v>
      </c>
      <c r="I26" s="245" t="s">
        <v>348</v>
      </c>
      <c r="J26" s="106" t="s">
        <v>349</v>
      </c>
      <c r="K26" s="106" t="s">
        <v>350</v>
      </c>
      <c r="L26" s="106" t="s">
        <v>351</v>
      </c>
      <c r="M26" s="260" t="s">
        <v>352</v>
      </c>
      <c r="N26" s="106" t="s">
        <v>353</v>
      </c>
      <c r="O26" s="106" t="s">
        <v>354</v>
      </c>
      <c r="P26" s="106" t="s">
        <v>355</v>
      </c>
      <c r="Q26" s="106" t="s">
        <v>356</v>
      </c>
      <c r="R26" s="152" t="s">
        <v>357</v>
      </c>
      <c r="S26" s="152" t="s">
        <v>358</v>
      </c>
      <c r="T26" s="380" t="s">
        <v>359</v>
      </c>
      <c r="U26" s="386"/>
      <c r="V26" s="386"/>
    </row>
    <row r="27" spans="1:33" ht="18" customHeight="1">
      <c r="A27" s="505"/>
      <c r="B27" s="250" t="s">
        <v>219</v>
      </c>
      <c r="C27" s="169" t="s">
        <v>220</v>
      </c>
      <c r="D27" s="5" t="s">
        <v>220</v>
      </c>
      <c r="E27" s="6" t="s">
        <v>336</v>
      </c>
      <c r="F27" s="6" t="s">
        <v>109</v>
      </c>
      <c r="G27" s="191" t="s">
        <v>221</v>
      </c>
      <c r="H27" s="243" t="s">
        <v>221</v>
      </c>
      <c r="I27" s="243" t="s">
        <v>221</v>
      </c>
      <c r="J27" s="243" t="s">
        <v>221</v>
      </c>
      <c r="K27" s="6"/>
      <c r="L27" s="6"/>
      <c r="M27" s="6"/>
      <c r="N27" s="6"/>
      <c r="O27" s="6"/>
      <c r="P27" s="6"/>
      <c r="Q27" s="6"/>
      <c r="R27" s="152"/>
      <c r="S27" s="152"/>
      <c r="T27" s="380"/>
      <c r="U27" s="386"/>
      <c r="V27" s="386"/>
    </row>
    <row r="28" spans="1:33" ht="18" customHeight="1">
      <c r="A28" s="505"/>
      <c r="B28" s="160" t="s">
        <v>222</v>
      </c>
      <c r="C28" s="169" t="s">
        <v>223</v>
      </c>
      <c r="D28" s="5" t="s">
        <v>360</v>
      </c>
      <c r="E28" s="7" t="s">
        <v>277</v>
      </c>
      <c r="F28" s="6" t="s">
        <v>109</v>
      </c>
      <c r="G28" s="188" t="s">
        <v>227</v>
      </c>
      <c r="H28" s="243" t="s">
        <v>361</v>
      </c>
      <c r="I28" s="243" t="s">
        <v>362</v>
      </c>
      <c r="J28" s="243" t="s">
        <v>363</v>
      </c>
      <c r="K28" s="243" t="s">
        <v>364</v>
      </c>
      <c r="L28" s="6" t="s">
        <v>365</v>
      </c>
      <c r="M28" s="6" t="s">
        <v>366</v>
      </c>
      <c r="N28" s="6"/>
      <c r="O28" s="6"/>
      <c r="P28" s="152"/>
      <c r="Q28" s="152"/>
      <c r="R28" s="152"/>
      <c r="S28" s="152"/>
      <c r="T28" s="380"/>
      <c r="U28" s="386"/>
      <c r="V28" s="386"/>
    </row>
    <row r="29" spans="1:33" ht="14.25" customHeight="1">
      <c r="A29" s="505"/>
      <c r="B29" s="250" t="s">
        <v>228</v>
      </c>
      <c r="C29" s="169" t="s">
        <v>229</v>
      </c>
      <c r="D29" s="5" t="s">
        <v>367</v>
      </c>
      <c r="E29" s="6" t="s">
        <v>336</v>
      </c>
      <c r="F29" s="6" t="s">
        <v>109</v>
      </c>
      <c r="G29" s="188">
        <v>20</v>
      </c>
      <c r="H29" s="6">
        <v>20</v>
      </c>
      <c r="I29" s="6">
        <v>21</v>
      </c>
      <c r="J29" s="6">
        <v>21</v>
      </c>
      <c r="K29" s="6">
        <v>21</v>
      </c>
      <c r="L29" s="6">
        <v>22</v>
      </c>
      <c r="M29" s="6">
        <v>22</v>
      </c>
      <c r="N29" s="6">
        <v>22</v>
      </c>
      <c r="O29" s="6">
        <v>22</v>
      </c>
      <c r="P29" s="152">
        <v>20</v>
      </c>
      <c r="Q29" s="152"/>
      <c r="R29" s="152">
        <v>18</v>
      </c>
      <c r="S29" s="152">
        <v>18</v>
      </c>
      <c r="T29" s="8">
        <v>18</v>
      </c>
      <c r="U29" s="386"/>
      <c r="V29" s="386"/>
      <c r="AB29" s="473"/>
      <c r="AC29" s="473"/>
      <c r="AD29" s="473"/>
    </row>
    <row r="30" spans="1:33" ht="14.25" customHeight="1">
      <c r="A30" s="505"/>
      <c r="B30" s="250" t="s">
        <v>231</v>
      </c>
      <c r="C30" s="171" t="s">
        <v>232</v>
      </c>
      <c r="D30" s="5" t="s">
        <v>368</v>
      </c>
      <c r="E30" s="6" t="s">
        <v>336</v>
      </c>
      <c r="F30" s="6" t="s">
        <v>109</v>
      </c>
      <c r="G30" s="188">
        <v>67</v>
      </c>
      <c r="H30" s="6">
        <v>67</v>
      </c>
      <c r="I30" s="6">
        <v>67</v>
      </c>
      <c r="J30" s="6">
        <v>67</v>
      </c>
      <c r="K30" s="6">
        <v>67</v>
      </c>
      <c r="L30" s="6">
        <v>67</v>
      </c>
      <c r="M30" s="6">
        <v>68</v>
      </c>
      <c r="N30" s="6"/>
      <c r="O30" s="6"/>
      <c r="P30" s="152"/>
      <c r="Q30" s="152"/>
      <c r="R30" s="152"/>
      <c r="S30" s="152"/>
      <c r="T30" s="8"/>
      <c r="U30" s="386"/>
      <c r="V30" s="391"/>
      <c r="AB30" s="126"/>
      <c r="AC30" s="126"/>
      <c r="AD30" s="126"/>
    </row>
    <row r="31" spans="1:33" ht="14.25" customHeight="1">
      <c r="A31" s="505"/>
      <c r="B31" s="160" t="s">
        <v>244</v>
      </c>
      <c r="C31" s="172" t="s">
        <v>245</v>
      </c>
      <c r="D31" s="5" t="s">
        <v>246</v>
      </c>
      <c r="E31" s="7" t="s">
        <v>277</v>
      </c>
      <c r="F31" s="6" t="s">
        <v>109</v>
      </c>
      <c r="G31" s="192">
        <v>0.05</v>
      </c>
      <c r="H31" s="153">
        <v>4.5900000000000003E-2</v>
      </c>
      <c r="I31" s="153">
        <v>5.1999999999999998E-2</v>
      </c>
      <c r="J31" s="153">
        <v>0.05</v>
      </c>
      <c r="K31" s="153">
        <v>5.3999999999999999E-2</v>
      </c>
      <c r="L31" s="6" t="s">
        <v>369</v>
      </c>
      <c r="M31" s="6" t="s">
        <v>370</v>
      </c>
      <c r="N31" s="6" t="s">
        <v>370</v>
      </c>
      <c r="O31" s="153" t="s">
        <v>370</v>
      </c>
      <c r="P31" s="6" t="s">
        <v>371</v>
      </c>
      <c r="Q31" s="6" t="s">
        <v>371</v>
      </c>
      <c r="R31" s="6" t="s">
        <v>372</v>
      </c>
      <c r="S31" s="277" t="s">
        <v>373</v>
      </c>
      <c r="T31" s="381" t="s">
        <v>374</v>
      </c>
      <c r="U31" s="389"/>
      <c r="V31" s="273">
        <f t="shared" ref="V31:V36" si="3">AVERAGE(H31:T31)</f>
        <v>5.0474999999999999E-2</v>
      </c>
      <c r="AC31" s="262"/>
      <c r="AD31" s="262"/>
    </row>
    <row r="32" spans="1:33" ht="14.25" customHeight="1">
      <c r="A32" s="505"/>
      <c r="B32" s="160" t="s">
        <v>258</v>
      </c>
      <c r="C32" s="19" t="s">
        <v>259</v>
      </c>
      <c r="D32" s="5" t="s">
        <v>260</v>
      </c>
      <c r="E32" s="7" t="s">
        <v>277</v>
      </c>
      <c r="F32" s="6" t="s">
        <v>109</v>
      </c>
      <c r="G32" s="192">
        <v>0.71499999999999997</v>
      </c>
      <c r="H32" s="153">
        <v>0.70240000000000002</v>
      </c>
      <c r="I32" s="153">
        <v>0.73440000000000005</v>
      </c>
      <c r="J32" s="153">
        <v>0.72540000000000004</v>
      </c>
      <c r="K32" s="153">
        <v>0.71499999999999997</v>
      </c>
      <c r="L32" s="153">
        <v>0.66536908462365274</v>
      </c>
      <c r="M32" s="153">
        <v>0.67562503495721238</v>
      </c>
      <c r="N32" s="153">
        <v>0.6830511978317293</v>
      </c>
      <c r="O32" s="153">
        <v>0.66874972201218696</v>
      </c>
      <c r="P32" s="153">
        <v>0.62304779403526855</v>
      </c>
      <c r="Q32" s="153">
        <v>0.61578728058753063</v>
      </c>
      <c r="R32" s="259">
        <v>0.61278112759121517</v>
      </c>
      <c r="S32" s="153">
        <v>0.59131899947790589</v>
      </c>
      <c r="T32" s="382">
        <v>0.59670000000000001</v>
      </c>
      <c r="U32" s="390"/>
      <c r="V32" s="273">
        <f t="shared" si="3"/>
        <v>0.66227924931666926</v>
      </c>
      <c r="AC32" s="262"/>
      <c r="AD32" s="262"/>
    </row>
    <row r="33" spans="1:30" ht="14.4">
      <c r="A33" s="505"/>
      <c r="B33" s="160" t="s">
        <v>261</v>
      </c>
      <c r="C33" s="19" t="s">
        <v>262</v>
      </c>
      <c r="D33" s="5" t="s">
        <v>263</v>
      </c>
      <c r="E33" s="7" t="s">
        <v>277</v>
      </c>
      <c r="F33" s="6" t="s">
        <v>109</v>
      </c>
      <c r="G33" s="253">
        <v>2.12</v>
      </c>
      <c r="H33" s="254">
        <v>2.31</v>
      </c>
      <c r="I33" s="254">
        <v>2.4</v>
      </c>
      <c r="J33" s="254">
        <v>2.12</v>
      </c>
      <c r="K33" s="254">
        <v>2.12</v>
      </c>
      <c r="L33" s="254">
        <v>2.15</v>
      </c>
      <c r="M33" s="254">
        <v>2.1319349931951002</v>
      </c>
      <c r="N33" s="6">
        <v>2.12</v>
      </c>
      <c r="O33" s="254">
        <v>2.1890887137773261</v>
      </c>
      <c r="P33" s="254">
        <v>2.3154414373729879</v>
      </c>
      <c r="Q33" s="254">
        <v>2.3154414373729879</v>
      </c>
      <c r="R33" s="274">
        <v>2.34</v>
      </c>
      <c r="S33" s="254">
        <v>2.41</v>
      </c>
      <c r="T33" s="281">
        <v>2.39</v>
      </c>
      <c r="U33" s="390"/>
      <c r="V33" s="268">
        <f t="shared" si="3"/>
        <v>2.2547620447475696</v>
      </c>
      <c r="AC33" s="262"/>
      <c r="AD33" s="262"/>
    </row>
    <row r="34" spans="1:30" ht="14.25" customHeight="1">
      <c r="A34" s="505"/>
      <c r="B34" s="160" t="s">
        <v>264</v>
      </c>
      <c r="C34" s="19" t="s">
        <v>265</v>
      </c>
      <c r="D34" s="5" t="s">
        <v>266</v>
      </c>
      <c r="E34" s="7" t="s">
        <v>277</v>
      </c>
      <c r="F34" s="158" t="s">
        <v>109</v>
      </c>
      <c r="G34" s="193">
        <v>0.76729999999999998</v>
      </c>
      <c r="H34" s="157" t="s">
        <v>375</v>
      </c>
      <c r="I34" s="157">
        <v>0.78200000000000003</v>
      </c>
      <c r="J34" s="157">
        <v>0.77910000000000001</v>
      </c>
      <c r="K34" s="157">
        <v>0.76700000000000002</v>
      </c>
      <c r="L34" s="157">
        <v>0.73820318282753516</v>
      </c>
      <c r="M34" s="153">
        <v>0.74474804338871348</v>
      </c>
      <c r="N34" s="157">
        <v>0.751702558439168</v>
      </c>
      <c r="O34" s="157">
        <v>0.7288</v>
      </c>
      <c r="P34" s="157">
        <v>0.68754888450221607</v>
      </c>
      <c r="Q34" s="157">
        <v>0.68291833536479196</v>
      </c>
      <c r="R34" s="275">
        <v>0.6788680632120544</v>
      </c>
      <c r="S34" s="153">
        <v>0.65652486806332955</v>
      </c>
      <c r="T34" s="382">
        <v>0.66020000000000001</v>
      </c>
      <c r="U34" s="390"/>
      <c r="V34" s="273">
        <f t="shared" si="3"/>
        <v>0.72146782798315068</v>
      </c>
      <c r="AC34" s="262"/>
      <c r="AD34" s="262"/>
    </row>
    <row r="35" spans="1:30" ht="14.4">
      <c r="A35" s="506"/>
      <c r="B35" s="160" t="s">
        <v>376</v>
      </c>
      <c r="C35" s="28" t="s">
        <v>377</v>
      </c>
      <c r="D35" s="202" t="s">
        <v>378</v>
      </c>
      <c r="E35" s="7" t="s">
        <v>277</v>
      </c>
      <c r="F35" s="6" t="s">
        <v>109</v>
      </c>
      <c r="G35" s="203" t="s">
        <v>200</v>
      </c>
      <c r="H35" s="153" t="s">
        <v>379</v>
      </c>
      <c r="I35" s="153" t="s">
        <v>380</v>
      </c>
      <c r="J35" s="153">
        <v>1</v>
      </c>
      <c r="K35" s="153">
        <v>0.99880000000000002</v>
      </c>
      <c r="L35" s="153" t="s">
        <v>379</v>
      </c>
      <c r="M35" s="6" t="s">
        <v>381</v>
      </c>
      <c r="N35" s="266" t="s">
        <v>379</v>
      </c>
      <c r="O35" s="266" t="s">
        <v>379</v>
      </c>
      <c r="P35" s="266" t="s">
        <v>382</v>
      </c>
      <c r="Q35" s="266" t="s">
        <v>379</v>
      </c>
      <c r="R35" s="276" t="s">
        <v>379</v>
      </c>
      <c r="S35" s="268" t="s">
        <v>383</v>
      </c>
      <c r="T35" s="382" t="s">
        <v>384</v>
      </c>
      <c r="U35" s="390"/>
      <c r="V35" s="273">
        <f t="shared" si="3"/>
        <v>0.99940000000000007</v>
      </c>
      <c r="AC35" s="262"/>
      <c r="AD35" s="262"/>
    </row>
    <row r="36" spans="1:30" ht="99.75" customHeight="1">
      <c r="A36" s="180" t="s">
        <v>267</v>
      </c>
      <c r="B36" s="205" t="s">
        <v>258</v>
      </c>
      <c r="C36" s="178" t="s">
        <v>269</v>
      </c>
      <c r="D36" s="221" t="s">
        <v>270</v>
      </c>
      <c r="E36" s="174" t="s">
        <v>277</v>
      </c>
      <c r="F36" s="179" t="s">
        <v>109</v>
      </c>
      <c r="G36" s="237">
        <v>0.79</v>
      </c>
      <c r="H36" s="247">
        <v>0.77</v>
      </c>
      <c r="I36" s="247">
        <v>0.77449999999999997</v>
      </c>
      <c r="J36" s="247">
        <v>0.77865549977913773</v>
      </c>
      <c r="K36" s="247">
        <v>0.75570000000000004</v>
      </c>
      <c r="L36" s="247">
        <v>0.76439999999999997</v>
      </c>
      <c r="M36" s="247">
        <v>0.74750000000000005</v>
      </c>
      <c r="N36" s="247">
        <v>0.74912664080036862</v>
      </c>
      <c r="O36" s="247">
        <v>0.72553927307469757</v>
      </c>
      <c r="P36" s="247">
        <v>0.70657325902390755</v>
      </c>
      <c r="Q36" s="247">
        <v>0.71050186537829296</v>
      </c>
      <c r="R36" s="247">
        <v>0.71207618198479328</v>
      </c>
      <c r="S36" s="278">
        <v>0.67989999999999995</v>
      </c>
      <c r="T36" s="383">
        <v>0.67556312701116783</v>
      </c>
      <c r="U36" s="386"/>
      <c r="V36" s="392">
        <f t="shared" si="3"/>
        <v>0.73461814208095133</v>
      </c>
      <c r="AC36" s="262"/>
      <c r="AD36" s="261"/>
    </row>
    <row r="37" spans="1:30" ht="15">
      <c r="F37" s="34"/>
      <c r="I37" s="35"/>
      <c r="J37" s="35"/>
      <c r="AC37" s="262"/>
      <c r="AD37" s="262"/>
    </row>
    <row r="38" spans="1:30" ht="13.8">
      <c r="F38" s="34"/>
      <c r="H38" s="287">
        <f>AVERAGE(H32:T32)</f>
        <v>0.66227924931666926</v>
      </c>
      <c r="I38" s="37" t="s">
        <v>385</v>
      </c>
      <c r="J38" s="37"/>
      <c r="S38" s="126"/>
      <c r="T38" s="126"/>
      <c r="AC38" s="261"/>
      <c r="AD38" s="261"/>
    </row>
    <row r="39" spans="1:30" ht="13.8">
      <c r="D39" s="38"/>
      <c r="E39" s="38"/>
      <c r="F39" s="34"/>
      <c r="H39" s="254">
        <f>AVERAGE(H33:T33)</f>
        <v>2.2547620447475696</v>
      </c>
      <c r="I39" s="37" t="s">
        <v>386</v>
      </c>
      <c r="J39" s="37"/>
      <c r="U39" s="127"/>
    </row>
    <row r="40" spans="1:30" ht="15">
      <c r="F40" s="34"/>
      <c r="H40" s="287">
        <f>AVERAGE(H34:T34)</f>
        <v>0.72146782798315068</v>
      </c>
      <c r="I40" s="37" t="s">
        <v>387</v>
      </c>
      <c r="J40" s="35"/>
      <c r="K40" s="35"/>
      <c r="L40" s="35"/>
      <c r="M40" s="35"/>
      <c r="N40" s="35"/>
      <c r="O40" s="35"/>
      <c r="P40" s="35"/>
      <c r="Q40" s="35"/>
      <c r="R40" s="35"/>
      <c r="S40" s="35"/>
      <c r="T40" s="35"/>
      <c r="U40" s="127"/>
    </row>
    <row r="41" spans="1:30" ht="15">
      <c r="F41" s="34"/>
      <c r="H41" s="288"/>
      <c r="I41" s="65"/>
      <c r="J41" s="35"/>
      <c r="K41" s="35"/>
      <c r="L41" s="35"/>
      <c r="M41" s="35"/>
      <c r="N41" s="35"/>
      <c r="O41" s="35"/>
      <c r="P41" s="35"/>
      <c r="Q41" s="35"/>
      <c r="R41" s="35"/>
      <c r="S41" s="35"/>
      <c r="T41" s="35"/>
      <c r="U41" s="127"/>
    </row>
    <row r="42" spans="1:30" ht="15">
      <c r="F42" s="34"/>
      <c r="I42" s="35"/>
      <c r="J42" s="35"/>
      <c r="K42" s="35"/>
      <c r="L42" s="35"/>
      <c r="M42" s="35"/>
      <c r="N42" s="35"/>
      <c r="O42" s="35"/>
      <c r="P42" s="35"/>
      <c r="Q42" s="35"/>
      <c r="R42" s="35"/>
      <c r="S42" s="35"/>
      <c r="T42" s="35"/>
      <c r="U42" s="128"/>
      <c r="V42" s="126"/>
    </row>
    <row r="43" spans="1:30" ht="15">
      <c r="B43" s="176"/>
      <c r="C43" s="171"/>
      <c r="D43" s="171"/>
      <c r="E43" s="171"/>
      <c r="F43" s="130"/>
      <c r="I43" s="35"/>
      <c r="J43" s="35"/>
    </row>
    <row r="44" spans="1:30" ht="15">
      <c r="F44" s="34"/>
      <c r="I44" s="35"/>
      <c r="J44" s="35"/>
      <c r="S44" s="473"/>
      <c r="T44" s="473"/>
      <c r="U44" s="473"/>
      <c r="V44" s="473"/>
    </row>
    <row r="45" spans="1:30" ht="15">
      <c r="F45" s="34"/>
      <c r="H45" s="127"/>
      <c r="I45" s="35"/>
      <c r="J45" s="35"/>
    </row>
    <row r="46" spans="1:30" ht="15">
      <c r="F46" s="34"/>
      <c r="I46" s="35"/>
      <c r="J46" s="35"/>
    </row>
    <row r="47" spans="1:30" ht="15">
      <c r="F47" s="34"/>
      <c r="I47" s="35"/>
      <c r="J47" s="35"/>
      <c r="S47" s="126"/>
      <c r="T47" s="126"/>
      <c r="U47" s="126"/>
      <c r="V47" s="126"/>
    </row>
    <row r="48" spans="1:30" ht="15">
      <c r="F48" s="34"/>
      <c r="H48" s="127"/>
      <c r="I48" s="35"/>
      <c r="J48" s="35"/>
    </row>
    <row r="49" spans="6:22" ht="15">
      <c r="F49" s="34"/>
      <c r="I49" s="35"/>
      <c r="J49" s="35"/>
      <c r="S49" s="126"/>
      <c r="T49" s="126"/>
      <c r="U49" s="474"/>
      <c r="V49" s="474"/>
    </row>
    <row r="50" spans="6:22" ht="15">
      <c r="F50" s="34"/>
      <c r="I50" s="35"/>
      <c r="J50" s="35"/>
      <c r="U50" s="127"/>
    </row>
    <row r="51" spans="6:22" ht="15">
      <c r="F51" s="34"/>
      <c r="I51" s="35"/>
      <c r="J51" s="35"/>
      <c r="U51" s="127"/>
    </row>
    <row r="52" spans="6:22" ht="15">
      <c r="F52" s="34"/>
      <c r="I52" s="35"/>
      <c r="J52" s="35"/>
      <c r="U52" s="127"/>
    </row>
    <row r="53" spans="6:22" ht="15">
      <c r="F53" s="34"/>
      <c r="I53" s="35"/>
      <c r="J53" s="35"/>
      <c r="S53" s="126"/>
      <c r="T53" s="126"/>
      <c r="U53" s="128"/>
      <c r="V53" s="126"/>
    </row>
    <row r="54" spans="6:22" ht="15">
      <c r="F54" s="34"/>
      <c r="I54" s="35"/>
      <c r="J54" s="35"/>
    </row>
    <row r="55" spans="6:22" ht="15">
      <c r="F55" s="34"/>
      <c r="I55" s="35"/>
      <c r="J55" s="35"/>
    </row>
    <row r="56" spans="6:22" ht="15">
      <c r="F56" s="34"/>
      <c r="I56" s="35"/>
      <c r="J56" s="35"/>
    </row>
    <row r="57" spans="6:22" ht="15">
      <c r="F57" s="34"/>
      <c r="I57" s="35"/>
      <c r="J57" s="35"/>
    </row>
    <row r="58" spans="6:22" ht="15">
      <c r="F58" s="34"/>
      <c r="I58" s="35"/>
      <c r="J58" s="35"/>
    </row>
    <row r="59" spans="6:22" ht="15">
      <c r="F59" s="34"/>
      <c r="I59" s="35"/>
      <c r="J59" s="35"/>
    </row>
    <row r="60" spans="6:22" ht="15">
      <c r="F60" s="34"/>
      <c r="I60" s="35"/>
      <c r="J60" s="35"/>
    </row>
    <row r="61" spans="6:22" ht="15">
      <c r="F61" s="34"/>
      <c r="I61" s="35"/>
      <c r="J61" s="35"/>
    </row>
    <row r="62" spans="6:22" ht="15">
      <c r="F62" s="34"/>
      <c r="I62" s="35"/>
      <c r="J62" s="35"/>
    </row>
    <row r="63" spans="6:22" ht="15">
      <c r="F63" s="34"/>
      <c r="I63" s="35"/>
      <c r="J63" s="35"/>
    </row>
    <row r="64" spans="6:22" ht="15">
      <c r="F64" s="34"/>
      <c r="I64" s="35"/>
      <c r="J64" s="35"/>
    </row>
    <row r="65" spans="6:16" ht="15">
      <c r="F65" s="34"/>
      <c r="I65" s="35"/>
      <c r="J65" s="35"/>
    </row>
    <row r="66" spans="6:16" ht="15">
      <c r="F66" s="34"/>
      <c r="I66" s="35"/>
      <c r="J66" s="35"/>
    </row>
    <row r="67" spans="6:16" ht="15">
      <c r="F67" s="34"/>
      <c r="I67" s="35"/>
      <c r="J67" s="35"/>
    </row>
    <row r="68" spans="6:16" ht="15">
      <c r="F68" s="34"/>
      <c r="I68" s="35"/>
      <c r="J68" s="35"/>
    </row>
    <row r="69" spans="6:16" ht="15">
      <c r="F69" s="34"/>
      <c r="I69" s="35"/>
      <c r="J69" s="35"/>
    </row>
    <row r="70" spans="6:16" ht="15">
      <c r="F70" s="34"/>
      <c r="I70" s="35"/>
      <c r="J70" s="35"/>
    </row>
    <row r="71" spans="6:16" ht="15">
      <c r="F71" s="34"/>
      <c r="I71" s="35"/>
      <c r="J71" s="35"/>
    </row>
    <row r="72" spans="6:16" ht="15">
      <c r="F72" s="34"/>
      <c r="I72" s="35"/>
      <c r="J72" s="35"/>
      <c r="K72" s="35"/>
      <c r="L72" s="35"/>
      <c r="M72" s="35"/>
      <c r="N72" s="35"/>
      <c r="O72" s="35"/>
      <c r="P72" s="35"/>
    </row>
    <row r="73" spans="6:16" ht="15">
      <c r="F73" s="34"/>
      <c r="I73" s="35"/>
      <c r="J73" s="35"/>
      <c r="K73" s="35"/>
      <c r="L73" s="35"/>
      <c r="M73" s="35"/>
      <c r="N73" s="35"/>
      <c r="O73" s="35"/>
      <c r="P73" s="35"/>
    </row>
    <row r="74" spans="6:16" ht="15">
      <c r="F74" s="34"/>
      <c r="I74" s="35"/>
      <c r="J74" s="35"/>
      <c r="K74" s="35"/>
      <c r="L74" s="35"/>
      <c r="M74" s="35"/>
      <c r="N74" s="35"/>
      <c r="O74" s="35"/>
      <c r="P74" s="35"/>
    </row>
    <row r="75" spans="6:16" ht="15">
      <c r="F75" s="34"/>
      <c r="I75" s="35"/>
      <c r="J75" s="35"/>
    </row>
    <row r="76" spans="6:16" ht="15">
      <c r="F76" s="34"/>
      <c r="I76" s="35"/>
      <c r="J76" s="35"/>
    </row>
    <row r="77" spans="6:16" ht="15">
      <c r="F77" s="34"/>
      <c r="I77" s="35"/>
      <c r="J77" s="35"/>
    </row>
    <row r="78" spans="6:16" ht="15">
      <c r="F78" s="34"/>
      <c r="I78" s="35"/>
      <c r="J78" s="35"/>
    </row>
    <row r="79" spans="6:16" ht="15">
      <c r="F79" s="34"/>
      <c r="I79" s="35"/>
      <c r="J79" s="35"/>
    </row>
    <row r="80" spans="6:16" ht="15">
      <c r="F80" s="34"/>
      <c r="I80" s="35"/>
      <c r="J80" s="35"/>
    </row>
    <row r="81" spans="1:10" ht="15">
      <c r="F81" s="34"/>
      <c r="I81" s="35"/>
      <c r="J81" s="35"/>
    </row>
    <row r="82" spans="1:10" ht="15">
      <c r="F82" s="34"/>
      <c r="I82" s="35"/>
      <c r="J82" s="35"/>
    </row>
    <row r="83" spans="1:10" ht="15">
      <c r="F83" s="34"/>
      <c r="I83" s="35"/>
      <c r="J83" s="35"/>
    </row>
    <row r="84" spans="1:10" ht="15">
      <c r="F84" s="34"/>
      <c r="I84" s="35"/>
      <c r="J84" s="35"/>
    </row>
    <row r="85" spans="1:10" ht="15">
      <c r="F85" s="34"/>
      <c r="I85" s="35"/>
      <c r="J85" s="35"/>
    </row>
    <row r="86" spans="1:10" ht="15">
      <c r="F86" s="34"/>
      <c r="I86" s="35"/>
      <c r="J86" s="35"/>
    </row>
    <row r="87" spans="1:10" ht="15">
      <c r="F87" s="34"/>
      <c r="I87" s="35"/>
      <c r="J87" s="35"/>
    </row>
    <row r="88" spans="1:10" ht="15">
      <c r="A88" t="s">
        <v>271</v>
      </c>
      <c r="B88">
        <v>36614</v>
      </c>
      <c r="F88" s="34"/>
      <c r="I88" s="35"/>
      <c r="J88" s="35"/>
    </row>
    <row r="89" spans="1:10" ht="15">
      <c r="A89" t="s">
        <v>272</v>
      </c>
      <c r="B89">
        <v>5738</v>
      </c>
      <c r="F89" s="34"/>
      <c r="I89" s="35"/>
      <c r="J89" s="35"/>
    </row>
    <row r="90" spans="1:10" ht="15">
      <c r="B90">
        <f>100-((B89*100)/B88)</f>
        <v>84.328398973070406</v>
      </c>
      <c r="F90" s="34"/>
      <c r="I90" s="35"/>
      <c r="J90" s="35"/>
    </row>
    <row r="91" spans="1:10" ht="15">
      <c r="F91" s="34"/>
      <c r="I91" s="35"/>
      <c r="J91" s="35"/>
    </row>
    <row r="92" spans="1:10" ht="15">
      <c r="F92" s="34"/>
      <c r="I92" s="35"/>
      <c r="J92" s="35"/>
    </row>
    <row r="93" spans="1:10" ht="15">
      <c r="F93" s="34"/>
      <c r="I93" s="35"/>
      <c r="J93" s="35"/>
    </row>
    <row r="94" spans="1:10" ht="15">
      <c r="F94" s="34"/>
      <c r="I94" s="35"/>
      <c r="J94" s="35"/>
    </row>
    <row r="95" spans="1:10" ht="15">
      <c r="F95" s="34"/>
      <c r="I95" s="35"/>
      <c r="J95" s="35"/>
    </row>
    <row r="96" spans="1:10" ht="15">
      <c r="F96" s="34"/>
      <c r="I96" s="35"/>
      <c r="J96" s="35"/>
    </row>
    <row r="97" spans="6:10" ht="15">
      <c r="F97" s="34"/>
      <c r="I97" s="35"/>
      <c r="J97" s="35"/>
    </row>
    <row r="98" spans="6:10" ht="15">
      <c r="F98" s="34"/>
      <c r="I98" s="35"/>
      <c r="J98" s="35"/>
    </row>
    <row r="99" spans="6:10" ht="15">
      <c r="F99" s="34"/>
      <c r="I99" s="35"/>
      <c r="J99" s="35"/>
    </row>
    <row r="100" spans="6:10" ht="15">
      <c r="F100" s="34"/>
      <c r="I100" s="35"/>
      <c r="J100" s="35"/>
    </row>
    <row r="101" spans="6:10" ht="15">
      <c r="F101" s="34"/>
      <c r="I101" s="35"/>
      <c r="J101" s="35"/>
    </row>
    <row r="102" spans="6:10" ht="15">
      <c r="F102" s="34"/>
      <c r="I102" s="35"/>
      <c r="J102" s="35"/>
    </row>
    <row r="103" spans="6:10" ht="15">
      <c r="F103" s="34"/>
      <c r="I103" s="35"/>
      <c r="J103" s="35"/>
    </row>
    <row r="104" spans="6:10" ht="15">
      <c r="F104" s="34"/>
      <c r="I104" s="35"/>
      <c r="J104" s="35"/>
    </row>
    <row r="105" spans="6:10" ht="15">
      <c r="F105" s="34"/>
      <c r="I105" s="35"/>
      <c r="J105" s="35"/>
    </row>
    <row r="106" spans="6:10" ht="15">
      <c r="F106" s="34"/>
      <c r="I106" s="35"/>
      <c r="J106" s="35"/>
    </row>
    <row r="107" spans="6:10" ht="15">
      <c r="F107" s="34"/>
      <c r="I107" s="35"/>
      <c r="J107" s="35"/>
    </row>
    <row r="108" spans="6:10" ht="15">
      <c r="F108" s="34"/>
      <c r="I108" s="35"/>
      <c r="J108" s="35"/>
    </row>
    <row r="109" spans="6:10" ht="15">
      <c r="F109" s="34"/>
      <c r="I109" s="35"/>
      <c r="J109" s="35"/>
    </row>
    <row r="110" spans="6:10" ht="15">
      <c r="F110" s="34"/>
      <c r="I110" s="35"/>
      <c r="J110" s="35"/>
    </row>
    <row r="111" spans="6:10" ht="15">
      <c r="F111" s="34"/>
      <c r="I111" s="35"/>
      <c r="J111" s="35"/>
    </row>
    <row r="112" spans="6:10" ht="15">
      <c r="F112" s="34"/>
      <c r="I112" s="35"/>
      <c r="J112" s="35"/>
    </row>
    <row r="113" spans="6:10" ht="15">
      <c r="F113" s="34"/>
      <c r="I113" s="35"/>
      <c r="J113" s="35"/>
    </row>
    <row r="114" spans="6:10" ht="15">
      <c r="F114" s="34"/>
      <c r="I114" s="35"/>
      <c r="J114" s="35"/>
    </row>
    <row r="115" spans="6:10" ht="15">
      <c r="F115" s="34"/>
      <c r="I115" s="35"/>
      <c r="J115" s="35"/>
    </row>
    <row r="116" spans="6:10" ht="15">
      <c r="F116" s="34"/>
      <c r="I116" s="35"/>
      <c r="J116" s="35"/>
    </row>
    <row r="117" spans="6:10" ht="15">
      <c r="F117" s="34"/>
      <c r="I117" s="35"/>
      <c r="J117" s="35"/>
    </row>
    <row r="118" spans="6:10" ht="15">
      <c r="F118" s="34"/>
      <c r="I118" s="35"/>
      <c r="J118" s="35"/>
    </row>
    <row r="119" spans="6:10" ht="15">
      <c r="F119" s="34"/>
      <c r="I119" s="35"/>
      <c r="J119" s="35"/>
    </row>
    <row r="120" spans="6:10" ht="15">
      <c r="F120" s="34"/>
      <c r="I120" s="35"/>
      <c r="J120" s="35"/>
    </row>
    <row r="121" spans="6:10" ht="15">
      <c r="F121" s="34"/>
      <c r="I121" s="35"/>
      <c r="J121" s="35"/>
    </row>
    <row r="122" spans="6:10" ht="15">
      <c r="F122" s="34"/>
      <c r="I122" s="35"/>
      <c r="J122" s="35"/>
    </row>
    <row r="123" spans="6:10" ht="15">
      <c r="F123" s="34"/>
      <c r="I123" s="35"/>
      <c r="J123" s="35"/>
    </row>
    <row r="124" spans="6:10" ht="15">
      <c r="F124" s="34"/>
      <c r="I124" s="35"/>
      <c r="J124" s="35"/>
    </row>
    <row r="125" spans="6:10" ht="15">
      <c r="F125" s="34"/>
      <c r="I125" s="35"/>
      <c r="J125" s="35"/>
    </row>
    <row r="126" spans="6:10" ht="15">
      <c r="F126" s="34"/>
      <c r="I126" s="35"/>
      <c r="J126" s="35"/>
    </row>
    <row r="127" spans="6:10" ht="15">
      <c r="F127" s="34"/>
      <c r="I127" s="35"/>
      <c r="J127" s="35"/>
    </row>
    <row r="128" spans="6:10" ht="15">
      <c r="F128" s="34"/>
      <c r="I128" s="35"/>
      <c r="J128" s="35"/>
    </row>
    <row r="129" spans="6:10" ht="15">
      <c r="F129" s="34"/>
      <c r="I129" s="35"/>
      <c r="J129" s="35"/>
    </row>
    <row r="130" spans="6:10" ht="15">
      <c r="F130" s="34"/>
      <c r="I130" s="35"/>
      <c r="J130" s="35"/>
    </row>
    <row r="131" spans="6:10" ht="15">
      <c r="F131" s="34"/>
      <c r="I131" s="35"/>
      <c r="J131" s="35"/>
    </row>
    <row r="132" spans="6:10" ht="15">
      <c r="F132" s="34"/>
      <c r="I132" s="35"/>
      <c r="J132" s="35"/>
    </row>
    <row r="133" spans="6:10" ht="15">
      <c r="F133" s="34"/>
      <c r="I133" s="35"/>
      <c r="J133" s="35"/>
    </row>
    <row r="134" spans="6:10" ht="15">
      <c r="F134" s="34"/>
      <c r="I134" s="35"/>
      <c r="J134" s="35"/>
    </row>
    <row r="135" spans="6:10" ht="15">
      <c r="F135" s="34"/>
      <c r="I135" s="35"/>
      <c r="J135" s="35"/>
    </row>
    <row r="136" spans="6:10" ht="15">
      <c r="F136" s="34"/>
      <c r="I136" s="35"/>
      <c r="J136" s="35"/>
    </row>
    <row r="137" spans="6:10" ht="15">
      <c r="F137" s="34"/>
      <c r="I137" s="35"/>
      <c r="J137" s="35"/>
    </row>
    <row r="138" spans="6:10" ht="15">
      <c r="F138" s="34"/>
      <c r="I138" s="35"/>
      <c r="J138" s="35"/>
    </row>
    <row r="139" spans="6:10" ht="15">
      <c r="F139" s="34"/>
      <c r="I139" s="35"/>
      <c r="J139" s="35"/>
    </row>
    <row r="140" spans="6:10" ht="15">
      <c r="F140" s="34"/>
      <c r="I140" s="35"/>
      <c r="J140" s="35"/>
    </row>
    <row r="141" spans="6:10" ht="15">
      <c r="F141" s="34"/>
      <c r="I141" s="35"/>
      <c r="J141" s="35"/>
    </row>
    <row r="142" spans="6:10" ht="15">
      <c r="F142" s="34"/>
      <c r="I142" s="35"/>
      <c r="J142" s="35"/>
    </row>
    <row r="143" spans="6:10" ht="15">
      <c r="F143" s="34"/>
      <c r="I143" s="35"/>
      <c r="J143" s="35"/>
    </row>
    <row r="144" spans="6:10" ht="15">
      <c r="F144" s="34"/>
      <c r="I144" s="35"/>
      <c r="J144" s="35"/>
    </row>
    <row r="145" spans="6:10" ht="15">
      <c r="F145" s="34"/>
      <c r="I145" s="35"/>
      <c r="J145" s="35"/>
    </row>
    <row r="146" spans="6:10" ht="15">
      <c r="F146" s="34"/>
      <c r="I146" s="35"/>
      <c r="J146" s="35"/>
    </row>
    <row r="147" spans="6:10" ht="15">
      <c r="F147" s="34"/>
      <c r="I147" s="35"/>
      <c r="J147" s="35"/>
    </row>
    <row r="148" spans="6:10" ht="15">
      <c r="F148" s="34"/>
      <c r="I148" s="35"/>
      <c r="J148" s="35"/>
    </row>
    <row r="149" spans="6:10" ht="15">
      <c r="F149" s="34"/>
      <c r="I149" s="35"/>
      <c r="J149" s="35"/>
    </row>
    <row r="150" spans="6:10" ht="15">
      <c r="F150" s="34"/>
      <c r="I150" s="35"/>
      <c r="J150" s="35"/>
    </row>
    <row r="151" spans="6:10" ht="15">
      <c r="F151" s="34"/>
      <c r="I151" s="35"/>
      <c r="J151" s="35"/>
    </row>
    <row r="152" spans="6:10" ht="15">
      <c r="F152" s="34"/>
      <c r="I152" s="35"/>
      <c r="J152" s="35"/>
    </row>
    <row r="153" spans="6:10" ht="15">
      <c r="F153" s="34"/>
      <c r="I153" s="35"/>
      <c r="J153" s="35"/>
    </row>
    <row r="154" spans="6:10" ht="15">
      <c r="F154" s="34"/>
      <c r="I154" s="35"/>
      <c r="J154" s="35"/>
    </row>
    <row r="155" spans="6:10" ht="15">
      <c r="F155" s="34"/>
      <c r="I155" s="35"/>
      <c r="J155" s="35"/>
    </row>
    <row r="156" spans="6:10" ht="15">
      <c r="F156" s="34"/>
      <c r="I156" s="35"/>
      <c r="J156" s="35"/>
    </row>
    <row r="157" spans="6:10" ht="15">
      <c r="F157" s="34"/>
      <c r="I157" s="35"/>
      <c r="J157" s="35"/>
    </row>
    <row r="158" spans="6:10" ht="15">
      <c r="F158" s="34"/>
      <c r="I158" s="35"/>
      <c r="J158" s="35"/>
    </row>
    <row r="159" spans="6:10" ht="15">
      <c r="F159" s="34"/>
      <c r="I159" s="35"/>
      <c r="J159" s="35"/>
    </row>
    <row r="160" spans="6:10" ht="15">
      <c r="F160" s="34"/>
      <c r="I160" s="35"/>
      <c r="J160" s="35"/>
    </row>
    <row r="161" spans="6:10" ht="15">
      <c r="F161" s="34"/>
      <c r="I161" s="35"/>
      <c r="J161" s="35"/>
    </row>
    <row r="162" spans="6:10" ht="15">
      <c r="F162" s="34"/>
      <c r="I162" s="35"/>
      <c r="J162" s="35"/>
    </row>
    <row r="163" spans="6:10" ht="15">
      <c r="F163" s="34"/>
      <c r="I163" s="35"/>
      <c r="J163" s="35"/>
    </row>
    <row r="164" spans="6:10" ht="15">
      <c r="F164" s="34"/>
      <c r="I164" s="35"/>
      <c r="J164" s="35"/>
    </row>
    <row r="165" spans="6:10" ht="15">
      <c r="F165" s="34"/>
      <c r="I165" s="35"/>
      <c r="J165" s="35"/>
    </row>
    <row r="166" spans="6:10" ht="15">
      <c r="F166" s="34"/>
      <c r="I166" s="35"/>
      <c r="J166" s="35"/>
    </row>
    <row r="167" spans="6:10" ht="15">
      <c r="F167" s="34"/>
      <c r="I167" s="35"/>
      <c r="J167" s="35"/>
    </row>
    <row r="168" spans="6:10" ht="15">
      <c r="F168" s="34"/>
      <c r="I168" s="35"/>
      <c r="J168" s="35"/>
    </row>
    <row r="169" spans="6:10" ht="15">
      <c r="F169" s="34"/>
      <c r="I169" s="35"/>
      <c r="J169" s="35"/>
    </row>
    <row r="170" spans="6:10" ht="15">
      <c r="F170" s="34"/>
      <c r="I170" s="35"/>
      <c r="J170" s="35"/>
    </row>
    <row r="171" spans="6:10" ht="15">
      <c r="F171" s="34"/>
      <c r="I171" s="35"/>
      <c r="J171" s="35"/>
    </row>
    <row r="172" spans="6:10" ht="15">
      <c r="F172" s="34"/>
      <c r="I172" s="35"/>
      <c r="J172" s="35"/>
    </row>
    <row r="173" spans="6:10" ht="15">
      <c r="F173" s="34"/>
      <c r="I173" s="35"/>
      <c r="J173" s="35"/>
    </row>
    <row r="174" spans="6:10" ht="15">
      <c r="F174" s="34"/>
      <c r="I174" s="35"/>
      <c r="J174" s="35"/>
    </row>
    <row r="175" spans="6:10" ht="15">
      <c r="F175" s="34"/>
      <c r="I175" s="35"/>
      <c r="J175" s="35"/>
    </row>
    <row r="176" spans="6:10" ht="15">
      <c r="F176" s="34"/>
      <c r="I176" s="35"/>
      <c r="J176" s="35"/>
    </row>
    <row r="177" spans="6:10" ht="15">
      <c r="F177" s="34"/>
      <c r="I177" s="35"/>
      <c r="J177" s="35"/>
    </row>
    <row r="178" spans="6:10" ht="15">
      <c r="F178" s="34"/>
      <c r="I178" s="35"/>
      <c r="J178" s="35"/>
    </row>
    <row r="179" spans="6:10" ht="15">
      <c r="F179" s="34"/>
      <c r="I179" s="35"/>
      <c r="J179" s="35"/>
    </row>
    <row r="180" spans="6:10" ht="15">
      <c r="F180" s="34"/>
      <c r="I180" s="35"/>
      <c r="J180" s="35"/>
    </row>
    <row r="181" spans="6:10" ht="15">
      <c r="F181" s="34"/>
      <c r="I181" s="35"/>
      <c r="J181" s="35"/>
    </row>
    <row r="182" spans="6:10" ht="15">
      <c r="F182" s="34"/>
      <c r="I182" s="35"/>
      <c r="J182" s="35"/>
    </row>
    <row r="183" spans="6:10" ht="15">
      <c r="F183" s="34"/>
      <c r="I183" s="35"/>
      <c r="J183" s="35"/>
    </row>
    <row r="184" spans="6:10" ht="15">
      <c r="F184" s="34"/>
      <c r="I184" s="35"/>
      <c r="J184" s="35"/>
    </row>
    <row r="185" spans="6:10" ht="15">
      <c r="F185" s="34"/>
      <c r="I185" s="35"/>
      <c r="J185" s="35"/>
    </row>
    <row r="186" spans="6:10" ht="15">
      <c r="F186" s="34"/>
      <c r="I186" s="35"/>
      <c r="J186" s="35"/>
    </row>
    <row r="187" spans="6:10" ht="15">
      <c r="F187" s="34"/>
      <c r="I187" s="35"/>
      <c r="J187" s="35"/>
    </row>
    <row r="188" spans="6:10" ht="15">
      <c r="F188" s="34"/>
      <c r="I188" s="35"/>
      <c r="J188" s="35"/>
    </row>
    <row r="189" spans="6:10" ht="15">
      <c r="F189" s="34"/>
      <c r="I189" s="35"/>
      <c r="J189" s="35"/>
    </row>
    <row r="190" spans="6:10" ht="15">
      <c r="F190" s="34"/>
      <c r="I190" s="35"/>
      <c r="J190" s="35"/>
    </row>
    <row r="191" spans="6:10" ht="15">
      <c r="F191" s="34"/>
      <c r="I191" s="35"/>
      <c r="J191" s="35"/>
    </row>
    <row r="192" spans="6:10" ht="15">
      <c r="F192" s="34"/>
      <c r="I192" s="35"/>
      <c r="J192" s="35"/>
    </row>
    <row r="193" spans="6:10" ht="15">
      <c r="F193" s="34"/>
      <c r="I193" s="35"/>
      <c r="J193" s="35"/>
    </row>
    <row r="194" spans="6:10" ht="15">
      <c r="F194" s="34"/>
      <c r="I194" s="35"/>
      <c r="J194" s="35"/>
    </row>
    <row r="195" spans="6:10" ht="15">
      <c r="F195" s="34"/>
      <c r="I195" s="35"/>
      <c r="J195" s="35"/>
    </row>
    <row r="196" spans="6:10" ht="15">
      <c r="F196" s="34"/>
      <c r="I196" s="35"/>
      <c r="J196" s="35"/>
    </row>
    <row r="197" spans="6:10" ht="15">
      <c r="F197" s="34"/>
      <c r="I197" s="35"/>
      <c r="J197" s="35"/>
    </row>
    <row r="198" spans="6:10" ht="15">
      <c r="F198" s="34"/>
      <c r="I198" s="35"/>
      <c r="J198" s="35"/>
    </row>
    <row r="199" spans="6:10" ht="15">
      <c r="F199" s="34"/>
      <c r="I199" s="35"/>
      <c r="J199" s="35"/>
    </row>
    <row r="200" spans="6:10" ht="15">
      <c r="F200" s="34"/>
      <c r="I200" s="35"/>
      <c r="J200" s="35"/>
    </row>
    <row r="201" spans="6:10" ht="15">
      <c r="F201" s="34"/>
      <c r="I201" s="35"/>
      <c r="J201" s="35"/>
    </row>
    <row r="202" spans="6:10" ht="15">
      <c r="F202" s="34"/>
      <c r="I202" s="35"/>
      <c r="J202" s="35"/>
    </row>
    <row r="203" spans="6:10" ht="15">
      <c r="F203" s="34"/>
      <c r="I203" s="35"/>
      <c r="J203" s="35"/>
    </row>
    <row r="204" spans="6:10" ht="15">
      <c r="F204" s="34"/>
      <c r="I204" s="35"/>
      <c r="J204" s="35"/>
    </row>
    <row r="205" spans="6:10" ht="15">
      <c r="F205" s="34"/>
      <c r="I205" s="35"/>
      <c r="J205" s="35"/>
    </row>
    <row r="206" spans="6:10" ht="15">
      <c r="F206" s="34"/>
      <c r="I206" s="35"/>
      <c r="J206" s="35"/>
    </row>
    <row r="207" spans="6:10" ht="15">
      <c r="F207" s="34"/>
      <c r="I207" s="35"/>
      <c r="J207" s="35"/>
    </row>
    <row r="208" spans="6:10" ht="15">
      <c r="F208" s="34"/>
      <c r="I208" s="35"/>
      <c r="J208" s="35"/>
    </row>
    <row r="209" spans="6:10" ht="15">
      <c r="F209" s="34"/>
      <c r="I209" s="35"/>
      <c r="J209" s="35"/>
    </row>
    <row r="210" spans="6:10" ht="15">
      <c r="F210" s="34"/>
      <c r="I210" s="35"/>
      <c r="J210" s="35"/>
    </row>
    <row r="211" spans="6:10" ht="15">
      <c r="F211" s="34"/>
      <c r="I211" s="35"/>
      <c r="J211" s="35"/>
    </row>
    <row r="212" spans="6:10" ht="15">
      <c r="F212" s="34"/>
      <c r="I212" s="35"/>
      <c r="J212" s="35"/>
    </row>
    <row r="213" spans="6:10" ht="15">
      <c r="F213" s="34"/>
      <c r="I213" s="35"/>
      <c r="J213" s="35"/>
    </row>
    <row r="214" spans="6:10" ht="15">
      <c r="F214" s="34"/>
      <c r="I214" s="35"/>
      <c r="J214" s="35"/>
    </row>
    <row r="215" spans="6:10" ht="15">
      <c r="F215" s="34"/>
      <c r="I215" s="35"/>
      <c r="J215" s="35"/>
    </row>
    <row r="216" spans="6:10" ht="15">
      <c r="F216" s="34"/>
      <c r="I216" s="35"/>
      <c r="J216" s="35"/>
    </row>
    <row r="217" spans="6:10" ht="15">
      <c r="F217" s="34"/>
      <c r="I217" s="35"/>
      <c r="J217" s="35"/>
    </row>
    <row r="218" spans="6:10" ht="15">
      <c r="F218" s="34"/>
      <c r="I218" s="35"/>
      <c r="J218" s="35"/>
    </row>
    <row r="219" spans="6:10" ht="15">
      <c r="F219" s="34"/>
      <c r="I219" s="35"/>
      <c r="J219" s="35"/>
    </row>
    <row r="220" spans="6:10" ht="15">
      <c r="F220" s="34"/>
      <c r="I220" s="35"/>
      <c r="J220" s="35"/>
    </row>
    <row r="221" spans="6:10" ht="15">
      <c r="F221" s="34"/>
      <c r="I221" s="35"/>
      <c r="J221" s="35"/>
    </row>
    <row r="222" spans="6:10" ht="15">
      <c r="F222" s="34"/>
      <c r="I222" s="35"/>
      <c r="J222" s="35"/>
    </row>
    <row r="223" spans="6:10" ht="15">
      <c r="F223" s="34"/>
      <c r="I223" s="35"/>
      <c r="J223" s="35"/>
    </row>
    <row r="224" spans="6:10" ht="15">
      <c r="F224" s="34"/>
      <c r="I224" s="35"/>
      <c r="J224" s="35"/>
    </row>
    <row r="225" spans="6:10" ht="15">
      <c r="F225" s="34"/>
      <c r="I225" s="35"/>
      <c r="J225" s="35"/>
    </row>
    <row r="226" spans="6:10" ht="15">
      <c r="F226" s="34"/>
      <c r="I226" s="35"/>
      <c r="J226" s="35"/>
    </row>
    <row r="227" spans="6:10" ht="15">
      <c r="F227" s="34"/>
      <c r="I227" s="35"/>
      <c r="J227" s="35"/>
    </row>
    <row r="228" spans="6:10" ht="15">
      <c r="F228" s="34"/>
      <c r="I228" s="35"/>
      <c r="J228" s="35"/>
    </row>
    <row r="229" spans="6:10" ht="15">
      <c r="F229" s="34"/>
      <c r="I229" s="35"/>
      <c r="J229" s="35"/>
    </row>
    <row r="230" spans="6:10" ht="15">
      <c r="F230" s="34"/>
      <c r="I230" s="35"/>
      <c r="J230" s="35"/>
    </row>
    <row r="231" spans="6:10" ht="15">
      <c r="F231" s="34"/>
      <c r="I231" s="35"/>
      <c r="J231" s="35"/>
    </row>
    <row r="232" spans="6:10" ht="15">
      <c r="F232" s="34"/>
      <c r="I232" s="35"/>
      <c r="J232" s="35"/>
    </row>
    <row r="233" spans="6:10" ht="15">
      <c r="F233" s="34"/>
      <c r="I233" s="35"/>
      <c r="J233" s="35"/>
    </row>
    <row r="234" spans="6:10" ht="15">
      <c r="F234" s="34"/>
      <c r="I234" s="35"/>
      <c r="J234" s="35"/>
    </row>
    <row r="235" spans="6:10" ht="15">
      <c r="F235" s="34"/>
      <c r="I235" s="35"/>
      <c r="J235" s="35"/>
    </row>
    <row r="236" spans="6:10" ht="15">
      <c r="F236" s="34"/>
      <c r="I236" s="35"/>
      <c r="J236" s="35"/>
    </row>
    <row r="237" spans="6:10" ht="15">
      <c r="F237" s="34"/>
      <c r="I237" s="35"/>
      <c r="J237" s="35"/>
    </row>
    <row r="238" spans="6:10" ht="15">
      <c r="F238" s="34"/>
      <c r="I238" s="35"/>
      <c r="J238" s="35"/>
    </row>
    <row r="239" spans="6:10" ht="15">
      <c r="F239" s="34"/>
      <c r="I239" s="35"/>
      <c r="J239" s="35"/>
    </row>
    <row r="240" spans="6:10" ht="15">
      <c r="F240" s="34"/>
      <c r="I240" s="35"/>
      <c r="J240" s="35"/>
    </row>
    <row r="241" spans="6:10" ht="15">
      <c r="F241" s="34"/>
      <c r="I241" s="35"/>
      <c r="J241" s="35"/>
    </row>
    <row r="242" spans="6:10" ht="15">
      <c r="F242" s="34"/>
      <c r="I242" s="35"/>
      <c r="J242" s="35"/>
    </row>
    <row r="243" spans="6:10" ht="15">
      <c r="F243" s="34"/>
      <c r="I243" s="35"/>
      <c r="J243" s="35"/>
    </row>
    <row r="244" spans="6:10" ht="15">
      <c r="F244" s="34"/>
      <c r="I244" s="35"/>
      <c r="J244" s="35"/>
    </row>
    <row r="245" spans="6:10" ht="15">
      <c r="F245" s="34"/>
      <c r="I245" s="35"/>
      <c r="J245" s="35"/>
    </row>
    <row r="246" spans="6:10" ht="15">
      <c r="F246" s="34"/>
      <c r="I246" s="35"/>
      <c r="J246" s="35"/>
    </row>
    <row r="247" spans="6:10" ht="15">
      <c r="F247" s="34"/>
      <c r="I247" s="35"/>
      <c r="J247" s="35"/>
    </row>
    <row r="248" spans="6:10" ht="15">
      <c r="F248" s="34"/>
      <c r="I248" s="35"/>
      <c r="J248" s="35"/>
    </row>
    <row r="249" spans="6:10" ht="15">
      <c r="F249" s="34"/>
      <c r="I249" s="35"/>
      <c r="J249" s="35"/>
    </row>
    <row r="250" spans="6:10" ht="15">
      <c r="F250" s="34"/>
      <c r="I250" s="35"/>
      <c r="J250" s="35"/>
    </row>
    <row r="251" spans="6:10" ht="15">
      <c r="F251" s="34"/>
      <c r="I251" s="35"/>
      <c r="J251" s="35"/>
    </row>
    <row r="252" spans="6:10" ht="15">
      <c r="F252" s="34"/>
      <c r="I252" s="35"/>
      <c r="J252" s="35"/>
    </row>
    <row r="253" spans="6:10" ht="15">
      <c r="F253" s="34"/>
      <c r="I253" s="35"/>
      <c r="J253" s="35"/>
    </row>
    <row r="254" spans="6:10" ht="15">
      <c r="F254" s="34"/>
      <c r="I254" s="35"/>
      <c r="J254" s="35"/>
    </row>
    <row r="255" spans="6:10" ht="15">
      <c r="F255" s="34"/>
      <c r="I255" s="35"/>
      <c r="J255" s="35"/>
    </row>
    <row r="256" spans="6:10" ht="15">
      <c r="F256" s="34"/>
      <c r="I256" s="35"/>
      <c r="J256" s="35"/>
    </row>
    <row r="257" spans="6:10" ht="15">
      <c r="F257" s="34"/>
      <c r="I257" s="35"/>
      <c r="J257" s="35"/>
    </row>
    <row r="258" spans="6:10" ht="15">
      <c r="F258" s="34"/>
      <c r="I258" s="35"/>
      <c r="J258" s="35"/>
    </row>
    <row r="259" spans="6:10" ht="15">
      <c r="F259" s="34"/>
      <c r="I259" s="35"/>
      <c r="J259" s="35"/>
    </row>
    <row r="260" spans="6:10" ht="15">
      <c r="F260" s="34"/>
      <c r="I260" s="35"/>
      <c r="J260" s="35"/>
    </row>
    <row r="261" spans="6:10" ht="15">
      <c r="F261" s="34"/>
      <c r="I261" s="35"/>
      <c r="J261" s="35"/>
    </row>
    <row r="262" spans="6:10" ht="15">
      <c r="F262" s="34"/>
      <c r="I262" s="35"/>
      <c r="J262" s="35"/>
    </row>
    <row r="263" spans="6:10" ht="15">
      <c r="F263" s="34"/>
      <c r="I263" s="35"/>
      <c r="J263" s="35"/>
    </row>
    <row r="264" spans="6:10" ht="15">
      <c r="F264" s="34"/>
      <c r="I264" s="35"/>
      <c r="J264" s="35"/>
    </row>
    <row r="265" spans="6:10" ht="15">
      <c r="F265" s="34"/>
      <c r="I265" s="35"/>
      <c r="J265" s="35"/>
    </row>
    <row r="266" spans="6:10" ht="15">
      <c r="F266" s="34"/>
      <c r="I266" s="35"/>
      <c r="J266" s="35"/>
    </row>
    <row r="267" spans="6:10" ht="15">
      <c r="F267" s="34"/>
      <c r="I267" s="35"/>
      <c r="J267" s="35"/>
    </row>
    <row r="268" spans="6:10" ht="15">
      <c r="F268" s="34"/>
      <c r="I268" s="35"/>
      <c r="J268" s="35"/>
    </row>
    <row r="269" spans="6:10" ht="15">
      <c r="F269" s="34"/>
      <c r="I269" s="35"/>
      <c r="J269" s="35"/>
    </row>
    <row r="270" spans="6:10" ht="15">
      <c r="F270" s="34"/>
      <c r="I270" s="35"/>
      <c r="J270" s="35"/>
    </row>
    <row r="271" spans="6:10" ht="15">
      <c r="F271" s="34"/>
      <c r="I271" s="35"/>
      <c r="J271" s="35"/>
    </row>
    <row r="272" spans="6:10" ht="15">
      <c r="F272" s="34"/>
      <c r="I272" s="35"/>
      <c r="J272" s="35"/>
    </row>
    <row r="273" spans="6:10" ht="15">
      <c r="F273" s="34"/>
      <c r="I273" s="35"/>
      <c r="J273" s="35"/>
    </row>
    <row r="274" spans="6:10" ht="15">
      <c r="F274" s="34"/>
      <c r="I274" s="35"/>
      <c r="J274" s="35"/>
    </row>
    <row r="275" spans="6:10" ht="15">
      <c r="F275" s="34"/>
      <c r="I275" s="35"/>
      <c r="J275" s="35"/>
    </row>
    <row r="276" spans="6:10" ht="15">
      <c r="F276" s="34"/>
      <c r="I276" s="35"/>
      <c r="J276" s="35"/>
    </row>
    <row r="277" spans="6:10" ht="15">
      <c r="F277" s="34"/>
      <c r="I277" s="35"/>
      <c r="J277" s="35"/>
    </row>
    <row r="278" spans="6:10" ht="15">
      <c r="F278" s="34"/>
      <c r="I278" s="35"/>
      <c r="J278" s="35"/>
    </row>
    <row r="279" spans="6:10" ht="15">
      <c r="F279" s="34"/>
      <c r="I279" s="35"/>
      <c r="J279" s="35"/>
    </row>
    <row r="280" spans="6:10" ht="15">
      <c r="F280" s="34"/>
      <c r="I280" s="35"/>
      <c r="J280" s="35"/>
    </row>
    <row r="281" spans="6:10" ht="15">
      <c r="F281" s="34"/>
      <c r="I281" s="35"/>
      <c r="J281" s="35"/>
    </row>
    <row r="282" spans="6:10" ht="15">
      <c r="F282" s="34"/>
      <c r="I282" s="35"/>
      <c r="J282" s="35"/>
    </row>
    <row r="283" spans="6:10" ht="15">
      <c r="F283" s="34"/>
      <c r="I283" s="35"/>
      <c r="J283" s="35"/>
    </row>
    <row r="284" spans="6:10" ht="15">
      <c r="F284" s="34"/>
      <c r="I284" s="35"/>
      <c r="J284" s="35"/>
    </row>
    <row r="285" spans="6:10" ht="15">
      <c r="F285" s="34"/>
      <c r="I285" s="35"/>
      <c r="J285" s="35"/>
    </row>
    <row r="286" spans="6:10" ht="15">
      <c r="F286" s="34"/>
      <c r="I286" s="35"/>
      <c r="J286" s="35"/>
    </row>
    <row r="287" spans="6:10" ht="15">
      <c r="F287" s="34"/>
      <c r="I287" s="35"/>
      <c r="J287" s="35"/>
    </row>
    <row r="288" spans="6:10" ht="15">
      <c r="F288" s="34"/>
      <c r="I288" s="35"/>
      <c r="J288" s="35"/>
    </row>
    <row r="289" spans="6:10" ht="15">
      <c r="F289" s="34"/>
      <c r="I289" s="35"/>
      <c r="J289" s="35"/>
    </row>
    <row r="290" spans="6:10" ht="15">
      <c r="F290" s="34"/>
      <c r="I290" s="35"/>
      <c r="J290" s="35"/>
    </row>
    <row r="291" spans="6:10" ht="15">
      <c r="F291" s="34"/>
      <c r="I291" s="35"/>
      <c r="J291" s="35"/>
    </row>
    <row r="292" spans="6:10" ht="15">
      <c r="F292" s="34"/>
      <c r="I292" s="35"/>
      <c r="J292" s="35"/>
    </row>
    <row r="293" spans="6:10" ht="15">
      <c r="F293" s="34"/>
      <c r="I293" s="35"/>
      <c r="J293" s="35"/>
    </row>
    <row r="294" spans="6:10" ht="15">
      <c r="F294" s="34"/>
      <c r="I294" s="35"/>
      <c r="J294" s="35"/>
    </row>
    <row r="295" spans="6:10" ht="15">
      <c r="F295" s="34"/>
      <c r="I295" s="35"/>
      <c r="J295" s="35"/>
    </row>
    <row r="296" spans="6:10" ht="15">
      <c r="F296" s="34"/>
      <c r="I296" s="35"/>
      <c r="J296" s="35"/>
    </row>
    <row r="297" spans="6:10" ht="15">
      <c r="F297" s="34"/>
      <c r="I297" s="35"/>
      <c r="J297" s="35"/>
    </row>
    <row r="298" spans="6:10" ht="15">
      <c r="F298" s="34"/>
      <c r="I298" s="35"/>
      <c r="J298" s="35"/>
    </row>
    <row r="299" spans="6:10" ht="15">
      <c r="F299" s="34"/>
      <c r="I299" s="35"/>
      <c r="J299" s="35"/>
    </row>
    <row r="300" spans="6:10" ht="15">
      <c r="F300" s="34"/>
      <c r="I300" s="35"/>
      <c r="J300" s="35"/>
    </row>
    <row r="301" spans="6:10" ht="15">
      <c r="F301" s="34"/>
      <c r="I301" s="35"/>
      <c r="J301" s="35"/>
    </row>
    <row r="302" spans="6:10" ht="15">
      <c r="F302" s="34"/>
      <c r="I302" s="35"/>
      <c r="J302" s="35"/>
    </row>
    <row r="303" spans="6:10" ht="15">
      <c r="F303" s="34"/>
      <c r="I303" s="35"/>
      <c r="J303" s="35"/>
    </row>
    <row r="304" spans="6:10" ht="15">
      <c r="F304" s="34"/>
      <c r="I304" s="35"/>
      <c r="J304" s="35"/>
    </row>
    <row r="305" spans="6:10" ht="15">
      <c r="F305" s="34"/>
      <c r="I305" s="35"/>
      <c r="J305" s="35"/>
    </row>
    <row r="306" spans="6:10" ht="15">
      <c r="F306" s="34"/>
      <c r="I306" s="35"/>
      <c r="J306" s="35"/>
    </row>
    <row r="307" spans="6:10" ht="15">
      <c r="F307" s="34"/>
      <c r="I307" s="35"/>
      <c r="J307" s="35"/>
    </row>
    <row r="308" spans="6:10" ht="15">
      <c r="F308" s="34"/>
      <c r="I308" s="35"/>
      <c r="J308" s="35"/>
    </row>
    <row r="309" spans="6:10" ht="15">
      <c r="F309" s="34"/>
      <c r="I309" s="35"/>
      <c r="J309" s="35"/>
    </row>
    <row r="310" spans="6:10" ht="15">
      <c r="F310" s="34"/>
      <c r="I310" s="35"/>
      <c r="J310" s="35"/>
    </row>
    <row r="311" spans="6:10" ht="15">
      <c r="F311" s="34"/>
      <c r="I311" s="35"/>
      <c r="J311" s="35"/>
    </row>
    <row r="312" spans="6:10" ht="15">
      <c r="F312" s="34"/>
      <c r="I312" s="35"/>
      <c r="J312" s="35"/>
    </row>
    <row r="313" spans="6:10" ht="15">
      <c r="F313" s="34"/>
      <c r="I313" s="35"/>
      <c r="J313" s="35"/>
    </row>
    <row r="314" spans="6:10" ht="15">
      <c r="F314" s="34"/>
      <c r="I314" s="35"/>
      <c r="J314" s="35"/>
    </row>
    <row r="315" spans="6:10" ht="15">
      <c r="F315" s="34"/>
      <c r="I315" s="35"/>
      <c r="J315" s="35"/>
    </row>
    <row r="316" spans="6:10" ht="15">
      <c r="F316" s="34"/>
      <c r="I316" s="35"/>
      <c r="J316" s="35"/>
    </row>
    <row r="317" spans="6:10" ht="15">
      <c r="F317" s="34"/>
      <c r="I317" s="35"/>
      <c r="J317" s="35"/>
    </row>
    <row r="318" spans="6:10" ht="15">
      <c r="F318" s="34"/>
      <c r="I318" s="35"/>
      <c r="J318" s="35"/>
    </row>
    <row r="319" spans="6:10" ht="15">
      <c r="F319" s="34"/>
      <c r="I319" s="35"/>
      <c r="J319" s="35"/>
    </row>
    <row r="320" spans="6:10" ht="15">
      <c r="F320" s="34"/>
      <c r="I320" s="35"/>
      <c r="J320" s="35"/>
    </row>
    <row r="321" spans="6:10" ht="15">
      <c r="F321" s="34"/>
      <c r="I321" s="35"/>
      <c r="J321" s="35"/>
    </row>
    <row r="322" spans="6:10" ht="15">
      <c r="F322" s="34"/>
      <c r="I322" s="35"/>
      <c r="J322" s="35"/>
    </row>
    <row r="323" spans="6:10" ht="15">
      <c r="F323" s="34"/>
      <c r="I323" s="35"/>
      <c r="J323" s="35"/>
    </row>
    <row r="324" spans="6:10" ht="15">
      <c r="F324" s="34"/>
      <c r="I324" s="35"/>
      <c r="J324" s="35"/>
    </row>
    <row r="325" spans="6:10" ht="15">
      <c r="F325" s="34"/>
      <c r="I325" s="35"/>
      <c r="J325" s="35"/>
    </row>
    <row r="326" spans="6:10" ht="15">
      <c r="F326" s="34"/>
      <c r="I326" s="35"/>
      <c r="J326" s="35"/>
    </row>
    <row r="327" spans="6:10" ht="15">
      <c r="F327" s="34"/>
      <c r="I327" s="35"/>
      <c r="J327" s="35"/>
    </row>
    <row r="328" spans="6:10" ht="15">
      <c r="F328" s="34"/>
      <c r="I328" s="35"/>
      <c r="J328" s="35"/>
    </row>
    <row r="329" spans="6:10" ht="15">
      <c r="F329" s="34"/>
      <c r="I329" s="35"/>
      <c r="J329" s="35"/>
    </row>
    <row r="330" spans="6:10" ht="15">
      <c r="F330" s="34"/>
      <c r="I330" s="35"/>
      <c r="J330" s="35"/>
    </row>
    <row r="331" spans="6:10" ht="15">
      <c r="F331" s="34"/>
      <c r="I331" s="35"/>
      <c r="J331" s="35"/>
    </row>
    <row r="332" spans="6:10" ht="15">
      <c r="F332" s="34"/>
      <c r="I332" s="35"/>
      <c r="J332" s="35"/>
    </row>
    <row r="333" spans="6:10" ht="15">
      <c r="F333" s="34"/>
      <c r="I333" s="35"/>
      <c r="J333" s="35"/>
    </row>
    <row r="334" spans="6:10" ht="15">
      <c r="F334" s="34"/>
      <c r="I334" s="35"/>
      <c r="J334" s="35"/>
    </row>
    <row r="335" spans="6:10" ht="15">
      <c r="F335" s="34"/>
      <c r="I335" s="35"/>
      <c r="J335" s="35"/>
    </row>
    <row r="336" spans="6:10" ht="15">
      <c r="F336" s="34"/>
      <c r="I336" s="35"/>
      <c r="J336" s="35"/>
    </row>
    <row r="337" spans="6:10" ht="15">
      <c r="F337" s="34"/>
      <c r="I337" s="35"/>
      <c r="J337" s="35"/>
    </row>
    <row r="338" spans="6:10" ht="15">
      <c r="F338" s="34"/>
      <c r="I338" s="35"/>
      <c r="J338" s="35"/>
    </row>
    <row r="339" spans="6:10" ht="15">
      <c r="F339" s="34"/>
      <c r="I339" s="35"/>
      <c r="J339" s="35"/>
    </row>
    <row r="340" spans="6:10" ht="15">
      <c r="F340" s="34"/>
      <c r="I340" s="35"/>
      <c r="J340" s="35"/>
    </row>
    <row r="341" spans="6:10" ht="15">
      <c r="F341" s="34"/>
      <c r="I341" s="35"/>
      <c r="J341" s="35"/>
    </row>
    <row r="342" spans="6:10" ht="15">
      <c r="F342" s="34"/>
      <c r="I342" s="35"/>
      <c r="J342" s="35"/>
    </row>
    <row r="343" spans="6:10" ht="15">
      <c r="F343" s="34"/>
      <c r="I343" s="35"/>
      <c r="J343" s="35"/>
    </row>
    <row r="344" spans="6:10" ht="15">
      <c r="F344" s="34"/>
      <c r="I344" s="35"/>
      <c r="J344" s="35"/>
    </row>
    <row r="345" spans="6:10" ht="15">
      <c r="F345" s="34"/>
      <c r="I345" s="35"/>
      <c r="J345" s="35"/>
    </row>
    <row r="346" spans="6:10" ht="15">
      <c r="F346" s="34"/>
      <c r="I346" s="35"/>
      <c r="J346" s="35"/>
    </row>
    <row r="347" spans="6:10" ht="15">
      <c r="F347" s="34"/>
      <c r="I347" s="35"/>
      <c r="J347" s="35"/>
    </row>
    <row r="348" spans="6:10" ht="15">
      <c r="F348" s="34"/>
      <c r="I348" s="35"/>
      <c r="J348" s="35"/>
    </row>
    <row r="349" spans="6:10" ht="15">
      <c r="F349" s="34"/>
      <c r="I349" s="35"/>
      <c r="J349" s="35"/>
    </row>
    <row r="350" spans="6:10" ht="15">
      <c r="F350" s="34"/>
      <c r="I350" s="35"/>
      <c r="J350" s="35"/>
    </row>
    <row r="351" spans="6:10" ht="15">
      <c r="F351" s="34"/>
      <c r="I351" s="35"/>
      <c r="J351" s="35"/>
    </row>
    <row r="352" spans="6:10" ht="15">
      <c r="F352" s="34"/>
      <c r="I352" s="35"/>
      <c r="J352" s="35"/>
    </row>
    <row r="353" spans="6:10" ht="15">
      <c r="F353" s="34"/>
      <c r="I353" s="35"/>
      <c r="J353" s="35"/>
    </row>
    <row r="354" spans="6:10" ht="15">
      <c r="F354" s="34"/>
      <c r="I354" s="35"/>
      <c r="J354" s="35"/>
    </row>
    <row r="355" spans="6:10" ht="15">
      <c r="F355" s="34"/>
      <c r="I355" s="35"/>
      <c r="J355" s="35"/>
    </row>
    <row r="356" spans="6:10" ht="15">
      <c r="F356" s="34"/>
      <c r="I356" s="35"/>
      <c r="J356" s="35"/>
    </row>
    <row r="357" spans="6:10" ht="15">
      <c r="F357" s="34"/>
      <c r="I357" s="35"/>
      <c r="J357" s="35"/>
    </row>
    <row r="358" spans="6:10" ht="15">
      <c r="F358" s="34"/>
      <c r="I358" s="35"/>
      <c r="J358" s="35"/>
    </row>
    <row r="359" spans="6:10" ht="15">
      <c r="F359" s="34"/>
      <c r="I359" s="35"/>
      <c r="J359" s="35"/>
    </row>
    <row r="360" spans="6:10" ht="15">
      <c r="F360" s="34"/>
      <c r="I360" s="35"/>
      <c r="J360" s="35"/>
    </row>
    <row r="361" spans="6:10" ht="15">
      <c r="F361" s="34"/>
      <c r="I361" s="35"/>
      <c r="J361" s="35"/>
    </row>
    <row r="362" spans="6:10" ht="15">
      <c r="F362" s="34"/>
      <c r="I362" s="35"/>
      <c r="J362" s="35"/>
    </row>
    <row r="363" spans="6:10" ht="15">
      <c r="F363" s="34"/>
      <c r="I363" s="35"/>
      <c r="J363" s="35"/>
    </row>
    <row r="364" spans="6:10" ht="15">
      <c r="F364" s="34"/>
      <c r="I364" s="35"/>
      <c r="J364" s="35"/>
    </row>
    <row r="365" spans="6:10" ht="15">
      <c r="F365" s="34"/>
      <c r="I365" s="35"/>
      <c r="J365" s="35"/>
    </row>
    <row r="366" spans="6:10" ht="15">
      <c r="F366" s="34"/>
      <c r="I366" s="35"/>
      <c r="J366" s="35"/>
    </row>
    <row r="367" spans="6:10" ht="15">
      <c r="F367" s="34"/>
      <c r="I367" s="35"/>
      <c r="J367" s="35"/>
    </row>
    <row r="368" spans="6:10" ht="15">
      <c r="F368" s="34"/>
      <c r="I368" s="35"/>
      <c r="J368" s="35"/>
    </row>
    <row r="369" spans="6:10" ht="15">
      <c r="F369" s="34"/>
      <c r="I369" s="35"/>
      <c r="J369" s="35"/>
    </row>
    <row r="370" spans="6:10" ht="15">
      <c r="F370" s="34"/>
      <c r="I370" s="35"/>
      <c r="J370" s="35"/>
    </row>
    <row r="371" spans="6:10" ht="15">
      <c r="F371" s="34"/>
      <c r="I371" s="35"/>
      <c r="J371" s="35"/>
    </row>
    <row r="372" spans="6:10" ht="15">
      <c r="F372" s="34"/>
      <c r="I372" s="35"/>
      <c r="J372" s="35"/>
    </row>
    <row r="373" spans="6:10" ht="15">
      <c r="F373" s="34"/>
      <c r="I373" s="35"/>
      <c r="J373" s="35"/>
    </row>
    <row r="374" spans="6:10" ht="15">
      <c r="F374" s="34"/>
      <c r="I374" s="35"/>
      <c r="J374" s="35"/>
    </row>
    <row r="375" spans="6:10" ht="15">
      <c r="F375" s="34"/>
      <c r="I375" s="35"/>
      <c r="J375" s="35"/>
    </row>
    <row r="376" spans="6:10" ht="15">
      <c r="F376" s="34"/>
      <c r="I376" s="35"/>
      <c r="J376" s="35"/>
    </row>
    <row r="377" spans="6:10" ht="15">
      <c r="F377" s="34"/>
      <c r="I377" s="35"/>
      <c r="J377" s="35"/>
    </row>
    <row r="378" spans="6:10" ht="15">
      <c r="F378" s="34"/>
      <c r="I378" s="35"/>
      <c r="J378" s="35"/>
    </row>
    <row r="379" spans="6:10" ht="15">
      <c r="F379" s="34"/>
      <c r="I379" s="35"/>
      <c r="J379" s="35"/>
    </row>
    <row r="380" spans="6:10" ht="15">
      <c r="F380" s="34"/>
      <c r="I380" s="35"/>
      <c r="J380" s="35"/>
    </row>
    <row r="381" spans="6:10" ht="15">
      <c r="F381" s="34"/>
      <c r="I381" s="35"/>
      <c r="J381" s="35"/>
    </row>
    <row r="382" spans="6:10" ht="15">
      <c r="F382" s="34"/>
      <c r="I382" s="35"/>
      <c r="J382" s="35"/>
    </row>
    <row r="383" spans="6:10" ht="15">
      <c r="F383" s="34"/>
      <c r="I383" s="35"/>
      <c r="J383" s="35"/>
    </row>
    <row r="384" spans="6:10" ht="15">
      <c r="F384" s="34"/>
      <c r="I384" s="35"/>
      <c r="J384" s="35"/>
    </row>
    <row r="385" spans="6:10" ht="15">
      <c r="F385" s="34"/>
      <c r="I385" s="35"/>
      <c r="J385" s="35"/>
    </row>
    <row r="386" spans="6:10" ht="15">
      <c r="F386" s="34"/>
      <c r="I386" s="35"/>
      <c r="J386" s="35"/>
    </row>
    <row r="387" spans="6:10" ht="15">
      <c r="F387" s="34"/>
      <c r="I387" s="35"/>
      <c r="J387" s="35"/>
    </row>
    <row r="388" spans="6:10" ht="15">
      <c r="F388" s="34"/>
      <c r="I388" s="35"/>
      <c r="J388" s="35"/>
    </row>
    <row r="389" spans="6:10" ht="15">
      <c r="F389" s="34"/>
      <c r="I389" s="35"/>
      <c r="J389" s="35"/>
    </row>
    <row r="390" spans="6:10" ht="15">
      <c r="F390" s="34"/>
      <c r="I390" s="35"/>
      <c r="J390" s="35"/>
    </row>
    <row r="391" spans="6:10" ht="15">
      <c r="F391" s="34"/>
      <c r="I391" s="35"/>
      <c r="J391" s="35"/>
    </row>
    <row r="392" spans="6:10" ht="15">
      <c r="F392" s="34"/>
      <c r="I392" s="35"/>
      <c r="J392" s="35"/>
    </row>
    <row r="393" spans="6:10" ht="15">
      <c r="F393" s="34"/>
      <c r="I393" s="35"/>
      <c r="J393" s="35"/>
    </row>
    <row r="394" spans="6:10" ht="15">
      <c r="F394" s="34"/>
      <c r="I394" s="35"/>
      <c r="J394" s="35"/>
    </row>
    <row r="395" spans="6:10" ht="15">
      <c r="F395" s="34"/>
      <c r="I395" s="35"/>
      <c r="J395" s="35"/>
    </row>
    <row r="396" spans="6:10" ht="15">
      <c r="F396" s="34"/>
      <c r="I396" s="35"/>
      <c r="J396" s="35"/>
    </row>
    <row r="397" spans="6:10" ht="15">
      <c r="F397" s="34"/>
      <c r="I397" s="35"/>
      <c r="J397" s="35"/>
    </row>
    <row r="398" spans="6:10" ht="15">
      <c r="F398" s="34"/>
      <c r="I398" s="35"/>
      <c r="J398" s="35"/>
    </row>
    <row r="399" spans="6:10" ht="15">
      <c r="F399" s="34"/>
      <c r="I399" s="35"/>
      <c r="J399" s="35"/>
    </row>
    <row r="400" spans="6:10" ht="15">
      <c r="F400" s="34"/>
      <c r="I400" s="35"/>
      <c r="J400" s="35"/>
    </row>
    <row r="401" spans="6:10" ht="15">
      <c r="F401" s="34"/>
      <c r="I401" s="35"/>
      <c r="J401" s="35"/>
    </row>
    <row r="402" spans="6:10" ht="15">
      <c r="F402" s="34"/>
      <c r="I402" s="35"/>
      <c r="J402" s="35"/>
    </row>
    <row r="403" spans="6:10" ht="15">
      <c r="F403" s="34"/>
      <c r="I403" s="35"/>
      <c r="J403" s="35"/>
    </row>
    <row r="404" spans="6:10" ht="15">
      <c r="F404" s="34"/>
      <c r="I404" s="35"/>
      <c r="J404" s="35"/>
    </row>
    <row r="405" spans="6:10" ht="15">
      <c r="F405" s="34"/>
      <c r="I405" s="35"/>
      <c r="J405" s="35"/>
    </row>
    <row r="406" spans="6:10" ht="15">
      <c r="F406" s="34"/>
      <c r="I406" s="35"/>
      <c r="J406" s="35"/>
    </row>
    <row r="407" spans="6:10" ht="15">
      <c r="F407" s="34"/>
      <c r="I407" s="35"/>
      <c r="J407" s="35"/>
    </row>
    <row r="408" spans="6:10" ht="15">
      <c r="F408" s="34"/>
      <c r="I408" s="35"/>
      <c r="J408" s="35"/>
    </row>
    <row r="409" spans="6:10" ht="15">
      <c r="F409" s="34"/>
      <c r="I409" s="35"/>
      <c r="J409" s="35"/>
    </row>
    <row r="410" spans="6:10" ht="15">
      <c r="F410" s="34"/>
      <c r="I410" s="35"/>
      <c r="J410" s="35"/>
    </row>
    <row r="411" spans="6:10" ht="15">
      <c r="F411" s="34"/>
      <c r="I411" s="35"/>
      <c r="J411" s="35"/>
    </row>
    <row r="412" spans="6:10" ht="15">
      <c r="F412" s="34"/>
      <c r="I412" s="35"/>
      <c r="J412" s="35"/>
    </row>
    <row r="413" spans="6:10" ht="15">
      <c r="F413" s="34"/>
      <c r="I413" s="35"/>
      <c r="J413" s="35"/>
    </row>
    <row r="414" spans="6:10" ht="15">
      <c r="F414" s="34"/>
      <c r="I414" s="35"/>
      <c r="J414" s="35"/>
    </row>
    <row r="415" spans="6:10" ht="15">
      <c r="F415" s="34"/>
      <c r="I415" s="35"/>
      <c r="J415" s="35"/>
    </row>
    <row r="416" spans="6:10" ht="15">
      <c r="F416" s="34"/>
      <c r="I416" s="35"/>
      <c r="J416" s="35"/>
    </row>
    <row r="417" spans="6:10" ht="15">
      <c r="F417" s="34"/>
      <c r="I417" s="35"/>
      <c r="J417" s="35"/>
    </row>
    <row r="418" spans="6:10" ht="15">
      <c r="F418" s="34"/>
      <c r="I418" s="35"/>
      <c r="J418" s="35"/>
    </row>
    <row r="419" spans="6:10" ht="15">
      <c r="F419" s="34"/>
      <c r="I419" s="35"/>
      <c r="J419" s="35"/>
    </row>
    <row r="420" spans="6:10" ht="15">
      <c r="F420" s="34"/>
      <c r="I420" s="35"/>
      <c r="J420" s="35"/>
    </row>
    <row r="421" spans="6:10" ht="15">
      <c r="F421" s="34"/>
      <c r="I421" s="35"/>
      <c r="J421" s="35"/>
    </row>
    <row r="422" spans="6:10" ht="15">
      <c r="F422" s="34"/>
      <c r="I422" s="35"/>
      <c r="J422" s="35"/>
    </row>
    <row r="423" spans="6:10" ht="15">
      <c r="F423" s="34"/>
      <c r="I423" s="35"/>
      <c r="J423" s="35"/>
    </row>
    <row r="424" spans="6:10" ht="15">
      <c r="F424" s="34"/>
      <c r="I424" s="35"/>
      <c r="J424" s="35"/>
    </row>
    <row r="425" spans="6:10" ht="15">
      <c r="F425" s="34"/>
      <c r="I425" s="35"/>
      <c r="J425" s="35"/>
    </row>
    <row r="426" spans="6:10" ht="15">
      <c r="F426" s="34"/>
      <c r="I426" s="35"/>
      <c r="J426" s="35"/>
    </row>
    <row r="427" spans="6:10" ht="15">
      <c r="F427" s="34"/>
      <c r="I427" s="35"/>
      <c r="J427" s="35"/>
    </row>
    <row r="428" spans="6:10" ht="15">
      <c r="F428" s="34"/>
      <c r="I428" s="35"/>
      <c r="J428" s="35"/>
    </row>
    <row r="429" spans="6:10" ht="15">
      <c r="F429" s="34"/>
      <c r="I429" s="35"/>
      <c r="J429" s="35"/>
    </row>
    <row r="430" spans="6:10" ht="15">
      <c r="F430" s="34"/>
      <c r="I430" s="35"/>
      <c r="J430" s="35"/>
    </row>
    <row r="431" spans="6:10" ht="15">
      <c r="F431" s="34"/>
      <c r="I431" s="35"/>
      <c r="J431" s="35"/>
    </row>
    <row r="432" spans="6:10" ht="15">
      <c r="F432" s="34"/>
      <c r="I432" s="35"/>
      <c r="J432" s="35"/>
    </row>
    <row r="433" spans="6:10" ht="15">
      <c r="F433" s="34"/>
      <c r="I433" s="35"/>
      <c r="J433" s="35"/>
    </row>
    <row r="434" spans="6:10" ht="15">
      <c r="F434" s="34"/>
      <c r="I434" s="35"/>
      <c r="J434" s="35"/>
    </row>
    <row r="435" spans="6:10" ht="15">
      <c r="F435" s="34"/>
      <c r="I435" s="35"/>
      <c r="J435" s="35"/>
    </row>
    <row r="436" spans="6:10" ht="15">
      <c r="F436" s="34"/>
      <c r="I436" s="35"/>
      <c r="J436" s="35"/>
    </row>
    <row r="437" spans="6:10" ht="15">
      <c r="F437" s="34"/>
      <c r="I437" s="35"/>
      <c r="J437" s="35"/>
    </row>
    <row r="438" spans="6:10" ht="15">
      <c r="F438" s="34"/>
      <c r="I438" s="35"/>
      <c r="J438" s="35"/>
    </row>
    <row r="439" spans="6:10" ht="15">
      <c r="F439" s="34"/>
      <c r="I439" s="35"/>
      <c r="J439" s="35"/>
    </row>
    <row r="440" spans="6:10" ht="15">
      <c r="F440" s="34"/>
      <c r="I440" s="35"/>
      <c r="J440" s="35"/>
    </row>
    <row r="441" spans="6:10" ht="15">
      <c r="F441" s="34"/>
      <c r="I441" s="35"/>
      <c r="J441" s="35"/>
    </row>
    <row r="442" spans="6:10" ht="15">
      <c r="F442" s="34"/>
      <c r="I442" s="35"/>
      <c r="J442" s="35"/>
    </row>
    <row r="443" spans="6:10" ht="15">
      <c r="F443" s="34"/>
      <c r="I443" s="35"/>
      <c r="J443" s="35"/>
    </row>
    <row r="444" spans="6:10" ht="15">
      <c r="F444" s="34"/>
      <c r="I444" s="35"/>
      <c r="J444" s="35"/>
    </row>
    <row r="445" spans="6:10" ht="15">
      <c r="F445" s="34"/>
      <c r="I445" s="35"/>
      <c r="J445" s="35"/>
    </row>
    <row r="446" spans="6:10" ht="15">
      <c r="F446" s="34"/>
      <c r="I446" s="35"/>
      <c r="J446" s="35"/>
    </row>
    <row r="447" spans="6:10" ht="15">
      <c r="F447" s="34"/>
      <c r="I447" s="35"/>
      <c r="J447" s="35"/>
    </row>
    <row r="448" spans="6:10" ht="15">
      <c r="F448" s="34"/>
      <c r="I448" s="35"/>
      <c r="J448" s="35"/>
    </row>
    <row r="449" spans="6:10" ht="15">
      <c r="F449" s="34"/>
      <c r="I449" s="35"/>
      <c r="J449" s="35"/>
    </row>
    <row r="450" spans="6:10" ht="15">
      <c r="F450" s="34"/>
      <c r="I450" s="35"/>
      <c r="J450" s="35"/>
    </row>
    <row r="451" spans="6:10" ht="15">
      <c r="F451" s="34"/>
      <c r="I451" s="35"/>
      <c r="J451" s="35"/>
    </row>
    <row r="452" spans="6:10" ht="15">
      <c r="F452" s="34"/>
      <c r="I452" s="35"/>
      <c r="J452" s="35"/>
    </row>
    <row r="453" spans="6:10" ht="15">
      <c r="F453" s="34"/>
      <c r="I453" s="35"/>
      <c r="J453" s="35"/>
    </row>
    <row r="454" spans="6:10" ht="15">
      <c r="F454" s="34"/>
      <c r="I454" s="35"/>
      <c r="J454" s="35"/>
    </row>
    <row r="455" spans="6:10" ht="15">
      <c r="F455" s="34"/>
      <c r="I455" s="35"/>
      <c r="J455" s="35"/>
    </row>
    <row r="456" spans="6:10" ht="15">
      <c r="F456" s="34"/>
      <c r="I456" s="35"/>
      <c r="J456" s="35"/>
    </row>
    <row r="457" spans="6:10" ht="15">
      <c r="F457" s="34"/>
      <c r="I457" s="35"/>
      <c r="J457" s="35"/>
    </row>
    <row r="458" spans="6:10" ht="15">
      <c r="F458" s="34"/>
      <c r="I458" s="35"/>
      <c r="J458" s="35"/>
    </row>
    <row r="459" spans="6:10" ht="15">
      <c r="F459" s="34"/>
      <c r="I459" s="35"/>
      <c r="J459" s="35"/>
    </row>
    <row r="460" spans="6:10" ht="15">
      <c r="F460" s="34"/>
      <c r="I460" s="35"/>
      <c r="J460" s="35"/>
    </row>
    <row r="461" spans="6:10" ht="15">
      <c r="F461" s="34"/>
      <c r="I461" s="35"/>
      <c r="J461" s="35"/>
    </row>
    <row r="462" spans="6:10" ht="15">
      <c r="F462" s="34"/>
      <c r="I462" s="35"/>
      <c r="J462" s="35"/>
    </row>
    <row r="463" spans="6:10" ht="15">
      <c r="F463" s="34"/>
      <c r="I463" s="35"/>
      <c r="J463" s="35"/>
    </row>
    <row r="464" spans="6:10" ht="15">
      <c r="F464" s="34"/>
      <c r="I464" s="35"/>
      <c r="J464" s="35"/>
    </row>
    <row r="465" spans="6:10" ht="15">
      <c r="F465" s="34"/>
      <c r="I465" s="35"/>
      <c r="J465" s="35"/>
    </row>
    <row r="466" spans="6:10" ht="15">
      <c r="F466" s="34"/>
      <c r="I466" s="35"/>
      <c r="J466" s="35"/>
    </row>
    <row r="467" spans="6:10" ht="15">
      <c r="F467" s="34"/>
      <c r="I467" s="35"/>
      <c r="J467" s="35"/>
    </row>
    <row r="468" spans="6:10" ht="15">
      <c r="F468" s="34"/>
      <c r="I468" s="35"/>
      <c r="J468" s="35"/>
    </row>
    <row r="469" spans="6:10" ht="15">
      <c r="F469" s="34"/>
      <c r="I469" s="35"/>
      <c r="J469" s="35"/>
    </row>
    <row r="470" spans="6:10" ht="15">
      <c r="F470" s="34"/>
      <c r="I470" s="35"/>
      <c r="J470" s="35"/>
    </row>
    <row r="471" spans="6:10" ht="15">
      <c r="F471" s="34"/>
      <c r="I471" s="35"/>
      <c r="J471" s="35"/>
    </row>
    <row r="472" spans="6:10" ht="15">
      <c r="F472" s="34"/>
      <c r="I472" s="35"/>
      <c r="J472" s="35"/>
    </row>
    <row r="473" spans="6:10" ht="15">
      <c r="F473" s="34"/>
      <c r="I473" s="35"/>
      <c r="J473" s="35"/>
    </row>
    <row r="474" spans="6:10" ht="15">
      <c r="F474" s="34"/>
      <c r="I474" s="35"/>
      <c r="J474" s="35"/>
    </row>
    <row r="475" spans="6:10" ht="15">
      <c r="F475" s="34"/>
      <c r="I475" s="35"/>
      <c r="J475" s="35"/>
    </row>
    <row r="476" spans="6:10" ht="15">
      <c r="F476" s="34"/>
      <c r="I476" s="35"/>
      <c r="J476" s="35"/>
    </row>
    <row r="477" spans="6:10" ht="15">
      <c r="F477" s="34"/>
      <c r="I477" s="35"/>
      <c r="J477" s="35"/>
    </row>
    <row r="478" spans="6:10" ht="15">
      <c r="F478" s="34"/>
      <c r="I478" s="35"/>
      <c r="J478" s="35"/>
    </row>
    <row r="479" spans="6:10" ht="15">
      <c r="F479" s="34"/>
      <c r="I479" s="35"/>
      <c r="J479" s="35"/>
    </row>
    <row r="480" spans="6:10" ht="15">
      <c r="F480" s="34"/>
      <c r="I480" s="35"/>
      <c r="J480" s="35"/>
    </row>
    <row r="481" spans="6:10" ht="15">
      <c r="F481" s="34"/>
      <c r="I481" s="35"/>
      <c r="J481" s="35"/>
    </row>
    <row r="482" spans="6:10" ht="15">
      <c r="F482" s="34"/>
      <c r="I482" s="35"/>
      <c r="J482" s="35"/>
    </row>
    <row r="483" spans="6:10" ht="15">
      <c r="F483" s="34"/>
      <c r="I483" s="35"/>
      <c r="J483" s="35"/>
    </row>
    <row r="484" spans="6:10" ht="15">
      <c r="F484" s="34"/>
      <c r="I484" s="35"/>
      <c r="J484" s="35"/>
    </row>
    <row r="485" spans="6:10" ht="15">
      <c r="F485" s="34"/>
      <c r="I485" s="35"/>
      <c r="J485" s="35"/>
    </row>
    <row r="486" spans="6:10" ht="15">
      <c r="F486" s="34"/>
      <c r="I486" s="35"/>
      <c r="J486" s="35"/>
    </row>
    <row r="487" spans="6:10" ht="15">
      <c r="F487" s="34"/>
      <c r="I487" s="35"/>
      <c r="J487" s="35"/>
    </row>
    <row r="488" spans="6:10" ht="15">
      <c r="F488" s="34"/>
      <c r="I488" s="35"/>
      <c r="J488" s="35"/>
    </row>
    <row r="489" spans="6:10" ht="15">
      <c r="F489" s="34"/>
      <c r="I489" s="35"/>
      <c r="J489" s="35"/>
    </row>
    <row r="490" spans="6:10" ht="15">
      <c r="F490" s="34"/>
      <c r="I490" s="35"/>
      <c r="J490" s="35"/>
    </row>
    <row r="491" spans="6:10" ht="15">
      <c r="F491" s="34"/>
      <c r="I491" s="35"/>
      <c r="J491" s="35"/>
    </row>
    <row r="492" spans="6:10" ht="15">
      <c r="F492" s="34"/>
      <c r="I492" s="35"/>
      <c r="J492" s="35"/>
    </row>
    <row r="493" spans="6:10" ht="15">
      <c r="F493" s="34"/>
      <c r="I493" s="35"/>
      <c r="J493" s="35"/>
    </row>
    <row r="494" spans="6:10" ht="15">
      <c r="F494" s="34"/>
      <c r="I494" s="35"/>
      <c r="J494" s="35"/>
    </row>
    <row r="495" spans="6:10" ht="15">
      <c r="F495" s="34"/>
      <c r="I495" s="35"/>
      <c r="J495" s="35"/>
    </row>
    <row r="496" spans="6:10" ht="15">
      <c r="F496" s="34"/>
      <c r="I496" s="35"/>
      <c r="J496" s="35"/>
    </row>
    <row r="497" spans="6:10" ht="15">
      <c r="F497" s="34"/>
      <c r="I497" s="35"/>
      <c r="J497" s="35"/>
    </row>
    <row r="498" spans="6:10" ht="15">
      <c r="F498" s="34"/>
      <c r="I498" s="35"/>
      <c r="J498" s="35"/>
    </row>
    <row r="499" spans="6:10" ht="15">
      <c r="F499" s="34"/>
      <c r="I499" s="35"/>
      <c r="J499" s="35"/>
    </row>
    <row r="500" spans="6:10" ht="15">
      <c r="F500" s="34"/>
      <c r="I500" s="35"/>
      <c r="J500" s="35"/>
    </row>
    <row r="501" spans="6:10" ht="15">
      <c r="F501" s="34"/>
      <c r="I501" s="35"/>
      <c r="J501" s="35"/>
    </row>
    <row r="502" spans="6:10" ht="15">
      <c r="F502" s="34"/>
      <c r="I502" s="35"/>
      <c r="J502" s="35"/>
    </row>
    <row r="503" spans="6:10" ht="15">
      <c r="F503" s="34"/>
      <c r="I503" s="35"/>
      <c r="J503" s="35"/>
    </row>
    <row r="504" spans="6:10" ht="15">
      <c r="F504" s="34"/>
      <c r="I504" s="35"/>
      <c r="J504" s="35"/>
    </row>
    <row r="505" spans="6:10" ht="15">
      <c r="F505" s="34"/>
      <c r="I505" s="35"/>
      <c r="J505" s="35"/>
    </row>
    <row r="506" spans="6:10" ht="15">
      <c r="F506" s="34"/>
      <c r="I506" s="35"/>
      <c r="J506" s="35"/>
    </row>
    <row r="507" spans="6:10" ht="15">
      <c r="F507" s="34"/>
      <c r="I507" s="35"/>
      <c r="J507" s="35"/>
    </row>
    <row r="508" spans="6:10" ht="15">
      <c r="F508" s="34"/>
      <c r="I508" s="35"/>
      <c r="J508" s="35"/>
    </row>
    <row r="509" spans="6:10" ht="15">
      <c r="F509" s="34"/>
      <c r="I509" s="35"/>
      <c r="J509" s="35"/>
    </row>
    <row r="510" spans="6:10" ht="15">
      <c r="F510" s="34"/>
      <c r="I510" s="35"/>
      <c r="J510" s="35"/>
    </row>
    <row r="511" spans="6:10" ht="15">
      <c r="F511" s="34"/>
      <c r="I511" s="35"/>
      <c r="J511" s="35"/>
    </row>
    <row r="512" spans="6:10" ht="15">
      <c r="F512" s="34"/>
      <c r="I512" s="35"/>
      <c r="J512" s="35"/>
    </row>
    <row r="513" spans="6:10" ht="15">
      <c r="F513" s="34"/>
      <c r="I513" s="35"/>
      <c r="J513" s="35"/>
    </row>
    <row r="514" spans="6:10" ht="15">
      <c r="F514" s="34"/>
      <c r="I514" s="35"/>
      <c r="J514" s="35"/>
    </row>
    <row r="515" spans="6:10" ht="15">
      <c r="F515" s="34"/>
      <c r="I515" s="35"/>
      <c r="J515" s="35"/>
    </row>
    <row r="516" spans="6:10" ht="15">
      <c r="F516" s="34"/>
      <c r="I516" s="35"/>
      <c r="J516" s="35"/>
    </row>
    <row r="517" spans="6:10" ht="15">
      <c r="F517" s="34"/>
      <c r="I517" s="35"/>
      <c r="J517" s="35"/>
    </row>
    <row r="518" spans="6:10" ht="15">
      <c r="F518" s="34"/>
      <c r="I518" s="35"/>
      <c r="J518" s="35"/>
    </row>
    <row r="519" spans="6:10" ht="15">
      <c r="F519" s="34"/>
      <c r="I519" s="35"/>
      <c r="J519" s="35"/>
    </row>
    <row r="520" spans="6:10" ht="15">
      <c r="F520" s="34"/>
      <c r="I520" s="35"/>
      <c r="J520" s="35"/>
    </row>
    <row r="521" spans="6:10" ht="15">
      <c r="F521" s="34"/>
      <c r="I521" s="35"/>
      <c r="J521" s="35"/>
    </row>
    <row r="522" spans="6:10" ht="15">
      <c r="F522" s="34"/>
      <c r="I522" s="35"/>
      <c r="J522" s="35"/>
    </row>
    <row r="523" spans="6:10" ht="15">
      <c r="F523" s="34"/>
      <c r="I523" s="35"/>
      <c r="J523" s="35"/>
    </row>
    <row r="524" spans="6:10" ht="15">
      <c r="F524" s="34"/>
      <c r="I524" s="35"/>
      <c r="J524" s="35"/>
    </row>
    <row r="525" spans="6:10" ht="15">
      <c r="F525" s="34"/>
      <c r="I525" s="35"/>
      <c r="J525" s="35"/>
    </row>
    <row r="526" spans="6:10" ht="15">
      <c r="F526" s="34"/>
      <c r="I526" s="35"/>
      <c r="J526" s="35"/>
    </row>
    <row r="527" spans="6:10" ht="15">
      <c r="F527" s="34"/>
      <c r="I527" s="35"/>
      <c r="J527" s="35"/>
    </row>
    <row r="528" spans="6:10" ht="15">
      <c r="F528" s="34"/>
      <c r="I528" s="35"/>
      <c r="J528" s="35"/>
    </row>
    <row r="529" spans="6:10" ht="15">
      <c r="F529" s="34"/>
      <c r="I529" s="35"/>
      <c r="J529" s="35"/>
    </row>
    <row r="530" spans="6:10" ht="15">
      <c r="F530" s="34"/>
      <c r="I530" s="35"/>
      <c r="J530" s="35"/>
    </row>
    <row r="531" spans="6:10" ht="15">
      <c r="F531" s="34"/>
      <c r="I531" s="35"/>
      <c r="J531" s="35"/>
    </row>
    <row r="532" spans="6:10" ht="15">
      <c r="F532" s="34"/>
      <c r="I532" s="35"/>
      <c r="J532" s="35"/>
    </row>
    <row r="533" spans="6:10" ht="15">
      <c r="F533" s="34"/>
      <c r="I533" s="35"/>
      <c r="J533" s="35"/>
    </row>
    <row r="534" spans="6:10" ht="15">
      <c r="F534" s="34"/>
      <c r="I534" s="35"/>
      <c r="J534" s="35"/>
    </row>
    <row r="535" spans="6:10" ht="15">
      <c r="F535" s="34"/>
      <c r="I535" s="35"/>
      <c r="J535" s="35"/>
    </row>
    <row r="536" spans="6:10" ht="15">
      <c r="F536" s="34"/>
      <c r="I536" s="35"/>
      <c r="J536" s="35"/>
    </row>
    <row r="537" spans="6:10" ht="15">
      <c r="F537" s="34"/>
      <c r="I537" s="35"/>
      <c r="J537" s="35"/>
    </row>
    <row r="538" spans="6:10" ht="15">
      <c r="F538" s="34"/>
      <c r="I538" s="35"/>
      <c r="J538" s="35"/>
    </row>
    <row r="539" spans="6:10" ht="15">
      <c r="F539" s="34"/>
      <c r="I539" s="35"/>
      <c r="J539" s="35"/>
    </row>
    <row r="540" spans="6:10" ht="15">
      <c r="F540" s="34"/>
      <c r="I540" s="35"/>
      <c r="J540" s="35"/>
    </row>
    <row r="541" spans="6:10" ht="15">
      <c r="F541" s="34"/>
      <c r="I541" s="35"/>
      <c r="J541" s="35"/>
    </row>
    <row r="542" spans="6:10" ht="15">
      <c r="F542" s="34"/>
      <c r="I542" s="35"/>
      <c r="J542" s="35"/>
    </row>
    <row r="543" spans="6:10" ht="15">
      <c r="F543" s="34"/>
      <c r="I543" s="35"/>
      <c r="J543" s="35"/>
    </row>
    <row r="544" spans="6:10" ht="15">
      <c r="F544" s="34"/>
      <c r="I544" s="35"/>
      <c r="J544" s="35"/>
    </row>
    <row r="545" spans="6:10" ht="15">
      <c r="F545" s="34"/>
      <c r="I545" s="35"/>
      <c r="J545" s="35"/>
    </row>
    <row r="546" spans="6:10" ht="15">
      <c r="F546" s="34"/>
      <c r="I546" s="35"/>
      <c r="J546" s="35"/>
    </row>
    <row r="547" spans="6:10" ht="15">
      <c r="F547" s="34"/>
      <c r="I547" s="35"/>
      <c r="J547" s="35"/>
    </row>
    <row r="548" spans="6:10" ht="15">
      <c r="F548" s="34"/>
      <c r="I548" s="35"/>
      <c r="J548" s="35"/>
    </row>
    <row r="549" spans="6:10" ht="15">
      <c r="F549" s="34"/>
      <c r="I549" s="35"/>
      <c r="J549" s="35"/>
    </row>
    <row r="550" spans="6:10" ht="15">
      <c r="F550" s="34"/>
      <c r="I550" s="35"/>
      <c r="J550" s="35"/>
    </row>
    <row r="551" spans="6:10" ht="15">
      <c r="F551" s="34"/>
      <c r="I551" s="35"/>
      <c r="J551" s="35"/>
    </row>
    <row r="552" spans="6:10" ht="15">
      <c r="F552" s="34"/>
      <c r="I552" s="35"/>
      <c r="J552" s="35"/>
    </row>
    <row r="553" spans="6:10" ht="15">
      <c r="F553" s="34"/>
      <c r="I553" s="35"/>
      <c r="J553" s="35"/>
    </row>
    <row r="554" spans="6:10" ht="15">
      <c r="F554" s="34"/>
      <c r="I554" s="35"/>
      <c r="J554" s="35"/>
    </row>
    <row r="555" spans="6:10" ht="15">
      <c r="F555" s="34"/>
      <c r="I555" s="35"/>
      <c r="J555" s="35"/>
    </row>
    <row r="556" spans="6:10" ht="15">
      <c r="F556" s="34"/>
      <c r="I556" s="35"/>
      <c r="J556" s="35"/>
    </row>
    <row r="557" spans="6:10" ht="15">
      <c r="F557" s="34"/>
      <c r="I557" s="35"/>
      <c r="J557" s="35"/>
    </row>
    <row r="558" spans="6:10" ht="15">
      <c r="F558" s="34"/>
      <c r="I558" s="35"/>
      <c r="J558" s="35"/>
    </row>
    <row r="559" spans="6:10" ht="15">
      <c r="F559" s="34"/>
      <c r="I559" s="35"/>
      <c r="J559" s="35"/>
    </row>
    <row r="560" spans="6:10" ht="15">
      <c r="F560" s="34"/>
      <c r="I560" s="35"/>
      <c r="J560" s="35"/>
    </row>
    <row r="561" spans="6:10" ht="15">
      <c r="F561" s="34"/>
      <c r="I561" s="35"/>
      <c r="J561" s="35"/>
    </row>
    <row r="562" spans="6:10" ht="15">
      <c r="F562" s="34"/>
      <c r="I562" s="35"/>
      <c r="J562" s="35"/>
    </row>
    <row r="563" spans="6:10" ht="15">
      <c r="F563" s="34"/>
      <c r="I563" s="35"/>
      <c r="J563" s="35"/>
    </row>
    <row r="564" spans="6:10" ht="15">
      <c r="F564" s="34"/>
      <c r="I564" s="35"/>
      <c r="J564" s="35"/>
    </row>
    <row r="565" spans="6:10" ht="15">
      <c r="F565" s="34"/>
      <c r="I565" s="35"/>
      <c r="J565" s="35"/>
    </row>
    <row r="566" spans="6:10" ht="15">
      <c r="F566" s="34"/>
      <c r="I566" s="35"/>
      <c r="J566" s="35"/>
    </row>
    <row r="567" spans="6:10" ht="15">
      <c r="F567" s="34"/>
      <c r="I567" s="35"/>
      <c r="J567" s="35"/>
    </row>
    <row r="568" spans="6:10" ht="15">
      <c r="F568" s="34"/>
      <c r="I568" s="35"/>
      <c r="J568" s="35"/>
    </row>
    <row r="569" spans="6:10" ht="15">
      <c r="F569" s="34"/>
      <c r="I569" s="35"/>
      <c r="J569" s="35"/>
    </row>
    <row r="570" spans="6:10" ht="15">
      <c r="F570" s="34"/>
      <c r="I570" s="35"/>
      <c r="J570" s="35"/>
    </row>
    <row r="571" spans="6:10" ht="15">
      <c r="F571" s="34"/>
      <c r="I571" s="35"/>
      <c r="J571" s="35"/>
    </row>
    <row r="572" spans="6:10" ht="15">
      <c r="F572" s="34"/>
      <c r="I572" s="35"/>
      <c r="J572" s="35"/>
    </row>
    <row r="573" spans="6:10" ht="15">
      <c r="F573" s="34"/>
      <c r="I573" s="35"/>
      <c r="J573" s="35"/>
    </row>
    <row r="574" spans="6:10" ht="15">
      <c r="F574" s="34"/>
      <c r="I574" s="35"/>
      <c r="J574" s="35"/>
    </row>
    <row r="575" spans="6:10" ht="15">
      <c r="F575" s="34"/>
      <c r="I575" s="35"/>
      <c r="J575" s="35"/>
    </row>
    <row r="576" spans="6:10" ht="15">
      <c r="F576" s="34"/>
      <c r="I576" s="35"/>
      <c r="J576" s="35"/>
    </row>
    <row r="577" spans="6:10" ht="15">
      <c r="F577" s="34"/>
      <c r="I577" s="35"/>
      <c r="J577" s="35"/>
    </row>
    <row r="578" spans="6:10" ht="15">
      <c r="F578" s="34"/>
      <c r="I578" s="35"/>
      <c r="J578" s="35"/>
    </row>
    <row r="579" spans="6:10" ht="15">
      <c r="F579" s="34"/>
      <c r="I579" s="35"/>
      <c r="J579" s="35"/>
    </row>
    <row r="580" spans="6:10" ht="15">
      <c r="F580" s="34"/>
      <c r="I580" s="35"/>
      <c r="J580" s="35"/>
    </row>
    <row r="581" spans="6:10" ht="15">
      <c r="F581" s="34"/>
      <c r="I581" s="35"/>
      <c r="J581" s="35"/>
    </row>
    <row r="582" spans="6:10" ht="15">
      <c r="F582" s="34"/>
      <c r="I582" s="35"/>
      <c r="J582" s="35"/>
    </row>
    <row r="583" spans="6:10" ht="15">
      <c r="F583" s="34"/>
      <c r="I583" s="35"/>
      <c r="J583" s="35"/>
    </row>
    <row r="584" spans="6:10" ht="15">
      <c r="F584" s="34"/>
      <c r="I584" s="35"/>
      <c r="J584" s="35"/>
    </row>
    <row r="585" spans="6:10" ht="15">
      <c r="F585" s="34"/>
      <c r="I585" s="35"/>
      <c r="J585" s="35"/>
    </row>
    <row r="586" spans="6:10" ht="15">
      <c r="F586" s="34"/>
      <c r="I586" s="35"/>
      <c r="J586" s="35"/>
    </row>
    <row r="587" spans="6:10" ht="15">
      <c r="F587" s="34"/>
      <c r="I587" s="35"/>
      <c r="J587" s="35"/>
    </row>
    <row r="588" spans="6:10" ht="15">
      <c r="F588" s="34"/>
      <c r="I588" s="35"/>
      <c r="J588" s="35"/>
    </row>
    <row r="589" spans="6:10" ht="15">
      <c r="F589" s="34"/>
      <c r="I589" s="35"/>
      <c r="J589" s="35"/>
    </row>
    <row r="590" spans="6:10" ht="15">
      <c r="F590" s="34"/>
      <c r="I590" s="35"/>
      <c r="J590" s="35"/>
    </row>
    <row r="591" spans="6:10" ht="15">
      <c r="F591" s="34"/>
      <c r="I591" s="35"/>
      <c r="J591" s="35"/>
    </row>
    <row r="592" spans="6:10" ht="15">
      <c r="F592" s="34"/>
      <c r="I592" s="35"/>
      <c r="J592" s="35"/>
    </row>
    <row r="593" spans="6:10" ht="15">
      <c r="F593" s="34"/>
      <c r="I593" s="35"/>
      <c r="J593" s="35"/>
    </row>
    <row r="594" spans="6:10" ht="15">
      <c r="F594" s="34"/>
      <c r="I594" s="35"/>
      <c r="J594" s="35"/>
    </row>
    <row r="595" spans="6:10" ht="15">
      <c r="F595" s="34"/>
      <c r="I595" s="35"/>
      <c r="J595" s="35"/>
    </row>
    <row r="596" spans="6:10" ht="15">
      <c r="F596" s="34"/>
      <c r="I596" s="35"/>
      <c r="J596" s="35"/>
    </row>
    <row r="597" spans="6:10" ht="15">
      <c r="F597" s="34"/>
      <c r="I597" s="35"/>
      <c r="J597" s="35"/>
    </row>
    <row r="598" spans="6:10" ht="15">
      <c r="F598" s="34"/>
      <c r="I598" s="35"/>
      <c r="J598" s="35"/>
    </row>
    <row r="599" spans="6:10" ht="15">
      <c r="F599" s="34"/>
      <c r="I599" s="35"/>
      <c r="J599" s="35"/>
    </row>
    <row r="600" spans="6:10" ht="15">
      <c r="F600" s="34"/>
      <c r="I600" s="35"/>
      <c r="J600" s="35"/>
    </row>
    <row r="601" spans="6:10" ht="15">
      <c r="F601" s="34"/>
      <c r="I601" s="35"/>
      <c r="J601" s="35"/>
    </row>
    <row r="602" spans="6:10" ht="15">
      <c r="F602" s="34"/>
      <c r="I602" s="35"/>
      <c r="J602" s="35"/>
    </row>
    <row r="603" spans="6:10" ht="15">
      <c r="F603" s="34"/>
      <c r="I603" s="35"/>
      <c r="J603" s="35"/>
    </row>
    <row r="604" spans="6:10" ht="15">
      <c r="F604" s="34"/>
      <c r="I604" s="35"/>
      <c r="J604" s="35"/>
    </row>
    <row r="605" spans="6:10" ht="15">
      <c r="F605" s="34"/>
      <c r="I605" s="35"/>
      <c r="J605" s="35"/>
    </row>
    <row r="606" spans="6:10" ht="15">
      <c r="F606" s="34"/>
      <c r="I606" s="35"/>
      <c r="J606" s="35"/>
    </row>
    <row r="607" spans="6:10" ht="15">
      <c r="F607" s="34"/>
      <c r="I607" s="35"/>
      <c r="J607" s="35"/>
    </row>
    <row r="608" spans="6:10" ht="15">
      <c r="F608" s="34"/>
      <c r="I608" s="35"/>
      <c r="J608" s="35"/>
    </row>
    <row r="609" spans="6:10" ht="15">
      <c r="F609" s="34"/>
      <c r="I609" s="35"/>
      <c r="J609" s="35"/>
    </row>
    <row r="610" spans="6:10" ht="15">
      <c r="F610" s="34"/>
      <c r="I610" s="35"/>
      <c r="J610" s="35"/>
    </row>
    <row r="611" spans="6:10" ht="15">
      <c r="F611" s="34"/>
      <c r="I611" s="35"/>
      <c r="J611" s="35"/>
    </row>
    <row r="612" spans="6:10" ht="15">
      <c r="F612" s="34"/>
      <c r="I612" s="35"/>
      <c r="J612" s="35"/>
    </row>
    <row r="613" spans="6:10" ht="15">
      <c r="F613" s="34"/>
      <c r="I613" s="35"/>
      <c r="J613" s="35"/>
    </row>
    <row r="614" spans="6:10" ht="15">
      <c r="F614" s="34"/>
      <c r="I614" s="35"/>
      <c r="J614" s="35"/>
    </row>
    <row r="615" spans="6:10" ht="15">
      <c r="F615" s="34"/>
      <c r="I615" s="35"/>
      <c r="J615" s="35"/>
    </row>
    <row r="616" spans="6:10" ht="15">
      <c r="F616" s="34"/>
      <c r="I616" s="35"/>
      <c r="J616" s="35"/>
    </row>
    <row r="617" spans="6:10" ht="15">
      <c r="F617" s="34"/>
      <c r="I617" s="35"/>
      <c r="J617" s="35"/>
    </row>
    <row r="618" spans="6:10" ht="15">
      <c r="F618" s="34"/>
      <c r="I618" s="35"/>
      <c r="J618" s="35"/>
    </row>
    <row r="619" spans="6:10" ht="15">
      <c r="F619" s="34"/>
      <c r="I619" s="35"/>
      <c r="J619" s="35"/>
    </row>
    <row r="620" spans="6:10" ht="15">
      <c r="F620" s="34"/>
      <c r="I620" s="35"/>
      <c r="J620" s="35"/>
    </row>
    <row r="621" spans="6:10" ht="15">
      <c r="F621" s="34"/>
      <c r="I621" s="35"/>
      <c r="J621" s="35"/>
    </row>
    <row r="622" spans="6:10" ht="15">
      <c r="F622" s="34"/>
      <c r="I622" s="35"/>
      <c r="J622" s="35"/>
    </row>
    <row r="623" spans="6:10" ht="15">
      <c r="F623" s="34"/>
      <c r="I623" s="35"/>
      <c r="J623" s="35"/>
    </row>
    <row r="624" spans="6:10" ht="15">
      <c r="F624" s="34"/>
      <c r="I624" s="35"/>
      <c r="J624" s="35"/>
    </row>
    <row r="625" spans="6:10" ht="15">
      <c r="F625" s="34"/>
      <c r="I625" s="35"/>
      <c r="J625" s="35"/>
    </row>
    <row r="626" spans="6:10" ht="15">
      <c r="F626" s="34"/>
      <c r="I626" s="35"/>
      <c r="J626" s="35"/>
    </row>
    <row r="627" spans="6:10" ht="15">
      <c r="F627" s="34"/>
      <c r="I627" s="35"/>
      <c r="J627" s="35"/>
    </row>
    <row r="628" spans="6:10" ht="15">
      <c r="F628" s="34"/>
      <c r="I628" s="35"/>
      <c r="J628" s="35"/>
    </row>
    <row r="629" spans="6:10" ht="15">
      <c r="F629" s="34"/>
      <c r="I629" s="35"/>
      <c r="J629" s="35"/>
    </row>
    <row r="630" spans="6:10" ht="15">
      <c r="F630" s="34"/>
      <c r="I630" s="35"/>
      <c r="J630" s="35"/>
    </row>
    <row r="631" spans="6:10" ht="15">
      <c r="F631" s="34"/>
      <c r="I631" s="35"/>
      <c r="J631" s="35"/>
    </row>
    <row r="632" spans="6:10" ht="15">
      <c r="F632" s="34"/>
      <c r="I632" s="35"/>
      <c r="J632" s="35"/>
    </row>
    <row r="633" spans="6:10" ht="15">
      <c r="F633" s="34"/>
      <c r="I633" s="35"/>
      <c r="J633" s="35"/>
    </row>
    <row r="634" spans="6:10" ht="15">
      <c r="F634" s="34"/>
      <c r="I634" s="35"/>
      <c r="J634" s="35"/>
    </row>
    <row r="635" spans="6:10" ht="15">
      <c r="F635" s="34"/>
      <c r="I635" s="35"/>
      <c r="J635" s="35"/>
    </row>
    <row r="636" spans="6:10" ht="15">
      <c r="F636" s="34"/>
      <c r="I636" s="35"/>
      <c r="J636" s="35"/>
    </row>
    <row r="637" spans="6:10" ht="15">
      <c r="F637" s="34"/>
      <c r="I637" s="35"/>
      <c r="J637" s="35"/>
    </row>
    <row r="638" spans="6:10" ht="15">
      <c r="F638" s="34"/>
      <c r="I638" s="35"/>
      <c r="J638" s="35"/>
    </row>
    <row r="639" spans="6:10" ht="15">
      <c r="F639" s="34"/>
      <c r="I639" s="35"/>
      <c r="J639" s="35"/>
    </row>
    <row r="640" spans="6:10" ht="15">
      <c r="F640" s="34"/>
      <c r="I640" s="35"/>
      <c r="J640" s="35"/>
    </row>
    <row r="641" spans="6:10" ht="15">
      <c r="F641" s="34"/>
      <c r="I641" s="35"/>
      <c r="J641" s="35"/>
    </row>
    <row r="642" spans="6:10" ht="15">
      <c r="F642" s="34"/>
      <c r="I642" s="35"/>
      <c r="J642" s="35"/>
    </row>
    <row r="643" spans="6:10" ht="15">
      <c r="F643" s="34"/>
      <c r="I643" s="35"/>
      <c r="J643" s="35"/>
    </row>
    <row r="644" spans="6:10" ht="15">
      <c r="F644" s="34"/>
      <c r="I644" s="35"/>
      <c r="J644" s="35"/>
    </row>
    <row r="645" spans="6:10" ht="15">
      <c r="F645" s="34"/>
      <c r="I645" s="35"/>
      <c r="J645" s="35"/>
    </row>
    <row r="646" spans="6:10" ht="15">
      <c r="F646" s="34"/>
      <c r="I646" s="35"/>
      <c r="J646" s="35"/>
    </row>
    <row r="647" spans="6:10" ht="15">
      <c r="F647" s="34"/>
      <c r="I647" s="35"/>
      <c r="J647" s="35"/>
    </row>
    <row r="648" spans="6:10" ht="15">
      <c r="F648" s="34"/>
      <c r="I648" s="35"/>
      <c r="J648" s="35"/>
    </row>
    <row r="649" spans="6:10" ht="15">
      <c r="F649" s="34"/>
      <c r="I649" s="35"/>
      <c r="J649" s="35"/>
    </row>
    <row r="650" spans="6:10" ht="15">
      <c r="F650" s="34"/>
      <c r="I650" s="35"/>
      <c r="J650" s="35"/>
    </row>
    <row r="651" spans="6:10" ht="15">
      <c r="F651" s="34"/>
      <c r="I651" s="35"/>
      <c r="J651" s="35"/>
    </row>
    <row r="652" spans="6:10" ht="15">
      <c r="F652" s="34"/>
      <c r="I652" s="35"/>
      <c r="J652" s="35"/>
    </row>
    <row r="653" spans="6:10" ht="15">
      <c r="F653" s="34"/>
      <c r="I653" s="35"/>
      <c r="J653" s="35"/>
    </row>
    <row r="654" spans="6:10" ht="15">
      <c r="F654" s="34"/>
      <c r="I654" s="35"/>
      <c r="J654" s="35"/>
    </row>
    <row r="655" spans="6:10" ht="15">
      <c r="F655" s="34"/>
      <c r="I655" s="35"/>
      <c r="J655" s="35"/>
    </row>
    <row r="656" spans="6:10" ht="15">
      <c r="F656" s="34"/>
      <c r="I656" s="35"/>
      <c r="J656" s="35"/>
    </row>
    <row r="657" spans="6:10" ht="15">
      <c r="F657" s="34"/>
      <c r="I657" s="35"/>
      <c r="J657" s="35"/>
    </row>
    <row r="658" spans="6:10" ht="15">
      <c r="F658" s="34"/>
      <c r="I658" s="35"/>
      <c r="J658" s="35"/>
    </row>
    <row r="659" spans="6:10" ht="15">
      <c r="F659" s="34"/>
      <c r="I659" s="35"/>
      <c r="J659" s="35"/>
    </row>
    <row r="660" spans="6:10" ht="15">
      <c r="F660" s="34"/>
      <c r="I660" s="35"/>
      <c r="J660" s="35"/>
    </row>
    <row r="661" spans="6:10" ht="15">
      <c r="F661" s="34"/>
      <c r="I661" s="35"/>
      <c r="J661" s="35"/>
    </row>
    <row r="662" spans="6:10" ht="15">
      <c r="F662" s="34"/>
      <c r="I662" s="35"/>
      <c r="J662" s="35"/>
    </row>
    <row r="663" spans="6:10" ht="15">
      <c r="F663" s="34"/>
      <c r="I663" s="35"/>
      <c r="J663" s="35"/>
    </row>
    <row r="664" spans="6:10" ht="15">
      <c r="F664" s="34"/>
      <c r="I664" s="35"/>
      <c r="J664" s="35"/>
    </row>
    <row r="665" spans="6:10" ht="15">
      <c r="F665" s="34"/>
      <c r="I665" s="35"/>
      <c r="J665" s="35"/>
    </row>
    <row r="666" spans="6:10" ht="15">
      <c r="F666" s="34"/>
      <c r="I666" s="35"/>
      <c r="J666" s="35"/>
    </row>
    <row r="667" spans="6:10" ht="15">
      <c r="F667" s="34"/>
      <c r="I667" s="35"/>
      <c r="J667" s="35"/>
    </row>
    <row r="668" spans="6:10" ht="15">
      <c r="F668" s="34"/>
      <c r="I668" s="35"/>
      <c r="J668" s="35"/>
    </row>
    <row r="669" spans="6:10" ht="15">
      <c r="F669" s="34"/>
      <c r="I669" s="35"/>
      <c r="J669" s="35"/>
    </row>
    <row r="670" spans="6:10" ht="15">
      <c r="F670" s="34"/>
      <c r="I670" s="35"/>
      <c r="J670" s="35"/>
    </row>
    <row r="671" spans="6:10" ht="15">
      <c r="F671" s="34"/>
      <c r="I671" s="35"/>
      <c r="J671" s="35"/>
    </row>
    <row r="672" spans="6:10" ht="15">
      <c r="F672" s="34"/>
      <c r="I672" s="35"/>
      <c r="J672" s="35"/>
    </row>
    <row r="673" spans="6:10" ht="15">
      <c r="F673" s="34"/>
      <c r="I673" s="35"/>
      <c r="J673" s="35"/>
    </row>
    <row r="674" spans="6:10" ht="15">
      <c r="F674" s="34"/>
      <c r="I674" s="35"/>
      <c r="J674" s="35"/>
    </row>
    <row r="675" spans="6:10" ht="15">
      <c r="F675" s="34"/>
      <c r="I675" s="35"/>
      <c r="J675" s="35"/>
    </row>
    <row r="676" spans="6:10" ht="15">
      <c r="F676" s="34"/>
      <c r="I676" s="35"/>
      <c r="J676" s="35"/>
    </row>
    <row r="677" spans="6:10" ht="15">
      <c r="F677" s="34"/>
      <c r="I677" s="35"/>
      <c r="J677" s="35"/>
    </row>
    <row r="678" spans="6:10" ht="15">
      <c r="F678" s="34"/>
      <c r="I678" s="35"/>
      <c r="J678" s="35"/>
    </row>
    <row r="679" spans="6:10" ht="15">
      <c r="F679" s="34"/>
      <c r="I679" s="35"/>
      <c r="J679" s="35"/>
    </row>
    <row r="680" spans="6:10" ht="15">
      <c r="F680" s="34"/>
      <c r="I680" s="35"/>
      <c r="J680" s="35"/>
    </row>
    <row r="681" spans="6:10" ht="15">
      <c r="F681" s="34"/>
      <c r="I681" s="35"/>
      <c r="J681" s="35"/>
    </row>
    <row r="682" spans="6:10" ht="15">
      <c r="F682" s="34"/>
      <c r="I682" s="35"/>
      <c r="J682" s="35"/>
    </row>
    <row r="683" spans="6:10" ht="15">
      <c r="F683" s="34"/>
      <c r="I683" s="35"/>
      <c r="J683" s="35"/>
    </row>
    <row r="684" spans="6:10" ht="15">
      <c r="F684" s="34"/>
      <c r="I684" s="35"/>
      <c r="J684" s="35"/>
    </row>
    <row r="685" spans="6:10" ht="15">
      <c r="F685" s="34"/>
      <c r="I685" s="35"/>
      <c r="J685" s="35"/>
    </row>
    <row r="686" spans="6:10" ht="15">
      <c r="F686" s="34"/>
      <c r="I686" s="35"/>
      <c r="J686" s="35"/>
    </row>
    <row r="687" spans="6:10" ht="15">
      <c r="F687" s="34"/>
      <c r="I687" s="35"/>
      <c r="J687" s="35"/>
    </row>
    <row r="688" spans="6:10" ht="15">
      <c r="F688" s="34"/>
      <c r="I688" s="35"/>
      <c r="J688" s="35"/>
    </row>
    <row r="689" spans="6:10" ht="15">
      <c r="F689" s="34"/>
      <c r="I689" s="35"/>
      <c r="J689" s="35"/>
    </row>
    <row r="690" spans="6:10" ht="15">
      <c r="F690" s="34"/>
      <c r="I690" s="35"/>
      <c r="J690" s="35"/>
    </row>
    <row r="691" spans="6:10" ht="15">
      <c r="F691" s="34"/>
      <c r="I691" s="35"/>
      <c r="J691" s="35"/>
    </row>
    <row r="692" spans="6:10" ht="15">
      <c r="F692" s="34"/>
      <c r="I692" s="35"/>
      <c r="J692" s="35"/>
    </row>
    <row r="693" spans="6:10" ht="15">
      <c r="F693" s="34"/>
      <c r="I693" s="35"/>
      <c r="J693" s="35"/>
    </row>
    <row r="694" spans="6:10" ht="15">
      <c r="F694" s="34"/>
      <c r="I694" s="35"/>
      <c r="J694" s="35"/>
    </row>
    <row r="695" spans="6:10" ht="15">
      <c r="F695" s="34"/>
      <c r="I695" s="35"/>
      <c r="J695" s="35"/>
    </row>
    <row r="696" spans="6:10" ht="15">
      <c r="F696" s="34"/>
      <c r="I696" s="35"/>
      <c r="J696" s="35"/>
    </row>
    <row r="697" spans="6:10" ht="15">
      <c r="F697" s="34"/>
      <c r="I697" s="35"/>
      <c r="J697" s="35"/>
    </row>
    <row r="698" spans="6:10" ht="15">
      <c r="F698" s="34"/>
      <c r="I698" s="35"/>
      <c r="J698" s="35"/>
    </row>
    <row r="699" spans="6:10" ht="15">
      <c r="F699" s="34"/>
      <c r="I699" s="35"/>
      <c r="J699" s="35"/>
    </row>
    <row r="700" spans="6:10" ht="15">
      <c r="F700" s="34"/>
      <c r="I700" s="35"/>
      <c r="J700" s="35"/>
    </row>
    <row r="701" spans="6:10" ht="15">
      <c r="F701" s="34"/>
      <c r="I701" s="35"/>
      <c r="J701" s="35"/>
    </row>
    <row r="702" spans="6:10" ht="15">
      <c r="F702" s="34"/>
      <c r="I702" s="35"/>
      <c r="J702" s="35"/>
    </row>
    <row r="703" spans="6:10" ht="15">
      <c r="F703" s="34"/>
      <c r="I703" s="35"/>
      <c r="J703" s="35"/>
    </row>
    <row r="704" spans="6:10" ht="15">
      <c r="F704" s="34"/>
      <c r="I704" s="35"/>
      <c r="J704" s="35"/>
    </row>
    <row r="705" spans="6:10" ht="15">
      <c r="F705" s="34"/>
      <c r="I705" s="35"/>
      <c r="J705" s="35"/>
    </row>
    <row r="706" spans="6:10" ht="15">
      <c r="F706" s="34"/>
      <c r="I706" s="35"/>
      <c r="J706" s="35"/>
    </row>
    <row r="707" spans="6:10" ht="15">
      <c r="F707" s="34"/>
      <c r="I707" s="35"/>
      <c r="J707" s="35"/>
    </row>
    <row r="708" spans="6:10" ht="15">
      <c r="F708" s="34"/>
      <c r="I708" s="35"/>
      <c r="J708" s="35"/>
    </row>
    <row r="709" spans="6:10" ht="15">
      <c r="F709" s="34"/>
      <c r="I709" s="35"/>
      <c r="J709" s="35"/>
    </row>
    <row r="710" spans="6:10" ht="15">
      <c r="F710" s="34"/>
      <c r="I710" s="35"/>
      <c r="J710" s="35"/>
    </row>
    <row r="711" spans="6:10" ht="15">
      <c r="F711" s="34"/>
      <c r="I711" s="35"/>
      <c r="J711" s="35"/>
    </row>
    <row r="712" spans="6:10" ht="15">
      <c r="F712" s="34"/>
      <c r="I712" s="35"/>
      <c r="J712" s="35"/>
    </row>
    <row r="713" spans="6:10" ht="15">
      <c r="F713" s="34"/>
      <c r="I713" s="35"/>
      <c r="J713" s="35"/>
    </row>
    <row r="714" spans="6:10" ht="15">
      <c r="F714" s="34"/>
      <c r="I714" s="35"/>
      <c r="J714" s="35"/>
    </row>
    <row r="715" spans="6:10" ht="15">
      <c r="F715" s="34"/>
      <c r="I715" s="35"/>
      <c r="J715" s="35"/>
    </row>
    <row r="716" spans="6:10" ht="15">
      <c r="F716" s="34"/>
      <c r="I716" s="35"/>
      <c r="J716" s="35"/>
    </row>
    <row r="717" spans="6:10" ht="15">
      <c r="F717" s="34"/>
      <c r="I717" s="35"/>
      <c r="J717" s="35"/>
    </row>
    <row r="718" spans="6:10" ht="15">
      <c r="F718" s="34"/>
      <c r="I718" s="35"/>
      <c r="J718" s="35"/>
    </row>
    <row r="719" spans="6:10" ht="15">
      <c r="F719" s="34"/>
      <c r="I719" s="35"/>
      <c r="J719" s="35"/>
    </row>
    <row r="720" spans="6:10" ht="15">
      <c r="F720" s="34"/>
      <c r="I720" s="35"/>
      <c r="J720" s="35"/>
    </row>
    <row r="721" spans="6:10" ht="15">
      <c r="F721" s="34"/>
      <c r="I721" s="35"/>
      <c r="J721" s="35"/>
    </row>
    <row r="722" spans="6:10" ht="15">
      <c r="F722" s="34"/>
      <c r="I722" s="35"/>
      <c r="J722" s="35"/>
    </row>
    <row r="723" spans="6:10" ht="15">
      <c r="F723" s="34"/>
      <c r="I723" s="35"/>
      <c r="J723" s="35"/>
    </row>
    <row r="724" spans="6:10" ht="15">
      <c r="F724" s="34"/>
      <c r="I724" s="35"/>
      <c r="J724" s="35"/>
    </row>
    <row r="725" spans="6:10" ht="15">
      <c r="F725" s="34"/>
      <c r="I725" s="35"/>
      <c r="J725" s="35"/>
    </row>
    <row r="726" spans="6:10" ht="15">
      <c r="F726" s="34"/>
      <c r="I726" s="35"/>
      <c r="J726" s="35"/>
    </row>
    <row r="727" spans="6:10" ht="15">
      <c r="F727" s="34"/>
      <c r="I727" s="35"/>
      <c r="J727" s="35"/>
    </row>
    <row r="728" spans="6:10" ht="15">
      <c r="F728" s="34"/>
      <c r="I728" s="35"/>
      <c r="J728" s="35"/>
    </row>
    <row r="729" spans="6:10" ht="15">
      <c r="F729" s="34"/>
      <c r="I729" s="35"/>
      <c r="J729" s="35"/>
    </row>
    <row r="730" spans="6:10" ht="15">
      <c r="F730" s="34"/>
      <c r="I730" s="35"/>
      <c r="J730" s="35"/>
    </row>
    <row r="731" spans="6:10" ht="15">
      <c r="F731" s="34"/>
      <c r="I731" s="35"/>
      <c r="J731" s="35"/>
    </row>
    <row r="732" spans="6:10" ht="15">
      <c r="F732" s="34"/>
      <c r="I732" s="35"/>
      <c r="J732" s="35"/>
    </row>
    <row r="733" spans="6:10" ht="15">
      <c r="F733" s="34"/>
      <c r="I733" s="35"/>
      <c r="J733" s="35"/>
    </row>
    <row r="734" spans="6:10" ht="15">
      <c r="F734" s="34"/>
      <c r="I734" s="35"/>
      <c r="J734" s="35"/>
    </row>
    <row r="735" spans="6:10" ht="15">
      <c r="F735" s="34"/>
      <c r="I735" s="35"/>
      <c r="J735" s="35"/>
    </row>
    <row r="736" spans="6:10" ht="15">
      <c r="F736" s="34"/>
      <c r="I736" s="35"/>
      <c r="J736" s="35"/>
    </row>
    <row r="737" spans="6:10" ht="15">
      <c r="F737" s="34"/>
      <c r="I737" s="35"/>
      <c r="J737" s="35"/>
    </row>
    <row r="738" spans="6:10" ht="15">
      <c r="F738" s="34"/>
      <c r="I738" s="35"/>
      <c r="J738" s="35"/>
    </row>
    <row r="739" spans="6:10" ht="15">
      <c r="F739" s="34"/>
      <c r="I739" s="35"/>
      <c r="J739" s="35"/>
    </row>
    <row r="740" spans="6:10" ht="15">
      <c r="F740" s="34"/>
      <c r="I740" s="35"/>
      <c r="J740" s="35"/>
    </row>
    <row r="741" spans="6:10" ht="15">
      <c r="F741" s="34"/>
      <c r="I741" s="35"/>
      <c r="J741" s="35"/>
    </row>
    <row r="742" spans="6:10" ht="15">
      <c r="F742" s="34"/>
      <c r="I742" s="35"/>
      <c r="J742" s="35"/>
    </row>
    <row r="743" spans="6:10" ht="15">
      <c r="F743" s="34"/>
      <c r="I743" s="35"/>
      <c r="J743" s="35"/>
    </row>
    <row r="744" spans="6:10" ht="15">
      <c r="F744" s="34"/>
      <c r="I744" s="35"/>
      <c r="J744" s="35"/>
    </row>
    <row r="745" spans="6:10" ht="15">
      <c r="F745" s="34"/>
      <c r="I745" s="35"/>
      <c r="J745" s="35"/>
    </row>
    <row r="746" spans="6:10" ht="15">
      <c r="F746" s="34"/>
      <c r="I746" s="35"/>
      <c r="J746" s="35"/>
    </row>
    <row r="747" spans="6:10" ht="15">
      <c r="F747" s="34"/>
      <c r="I747" s="35"/>
      <c r="J747" s="35"/>
    </row>
    <row r="748" spans="6:10" ht="15">
      <c r="F748" s="34"/>
      <c r="I748" s="35"/>
      <c r="J748" s="35"/>
    </row>
    <row r="749" spans="6:10" ht="15">
      <c r="F749" s="34"/>
      <c r="I749" s="35"/>
      <c r="J749" s="35"/>
    </row>
    <row r="750" spans="6:10" ht="15">
      <c r="F750" s="34"/>
      <c r="I750" s="35"/>
      <c r="J750" s="35"/>
    </row>
    <row r="751" spans="6:10" ht="15">
      <c r="F751" s="34"/>
      <c r="I751" s="35"/>
      <c r="J751" s="35"/>
    </row>
    <row r="752" spans="6:10" ht="15">
      <c r="F752" s="34"/>
      <c r="I752" s="35"/>
      <c r="J752" s="35"/>
    </row>
    <row r="753" spans="6:10" ht="15">
      <c r="F753" s="34"/>
      <c r="I753" s="35"/>
      <c r="J753" s="35"/>
    </row>
    <row r="754" spans="6:10" ht="15">
      <c r="F754" s="34"/>
      <c r="I754" s="35"/>
      <c r="J754" s="35"/>
    </row>
    <row r="755" spans="6:10" ht="15">
      <c r="F755" s="34"/>
      <c r="I755" s="35"/>
      <c r="J755" s="35"/>
    </row>
    <row r="756" spans="6:10" ht="15">
      <c r="F756" s="34"/>
      <c r="I756" s="35"/>
      <c r="J756" s="35"/>
    </row>
    <row r="757" spans="6:10" ht="15">
      <c r="F757" s="34"/>
      <c r="I757" s="35"/>
      <c r="J757" s="35"/>
    </row>
    <row r="758" spans="6:10" ht="15">
      <c r="F758" s="34"/>
      <c r="I758" s="35"/>
      <c r="J758" s="35"/>
    </row>
    <row r="759" spans="6:10" ht="15">
      <c r="F759" s="34"/>
      <c r="I759" s="35"/>
      <c r="J759" s="35"/>
    </row>
    <row r="760" spans="6:10" ht="15">
      <c r="F760" s="34"/>
      <c r="I760" s="35"/>
      <c r="J760" s="35"/>
    </row>
    <row r="761" spans="6:10" ht="15">
      <c r="F761" s="34"/>
      <c r="I761" s="35"/>
      <c r="J761" s="35"/>
    </row>
    <row r="762" spans="6:10" ht="15">
      <c r="F762" s="34"/>
      <c r="I762" s="35"/>
      <c r="J762" s="35"/>
    </row>
    <row r="763" spans="6:10" ht="15">
      <c r="F763" s="34"/>
      <c r="I763" s="35"/>
      <c r="J763" s="35"/>
    </row>
    <row r="764" spans="6:10" ht="15">
      <c r="F764" s="34"/>
      <c r="I764" s="35"/>
      <c r="J764" s="35"/>
    </row>
    <row r="765" spans="6:10" ht="15">
      <c r="F765" s="34"/>
      <c r="I765" s="35"/>
      <c r="J765" s="35"/>
    </row>
    <row r="766" spans="6:10" ht="15">
      <c r="F766" s="34"/>
      <c r="I766" s="35"/>
      <c r="J766" s="35"/>
    </row>
    <row r="767" spans="6:10" ht="15">
      <c r="F767" s="34"/>
      <c r="I767" s="35"/>
      <c r="J767" s="35"/>
    </row>
    <row r="768" spans="6:10" ht="15">
      <c r="F768" s="34"/>
      <c r="I768" s="35"/>
      <c r="J768" s="35"/>
    </row>
    <row r="769" spans="6:10" ht="15">
      <c r="F769" s="34"/>
      <c r="I769" s="35"/>
      <c r="J769" s="35"/>
    </row>
    <row r="770" spans="6:10" ht="15">
      <c r="F770" s="34"/>
      <c r="I770" s="35"/>
      <c r="J770" s="35"/>
    </row>
    <row r="771" spans="6:10" ht="15">
      <c r="F771" s="34"/>
      <c r="I771" s="35"/>
      <c r="J771" s="35"/>
    </row>
    <row r="772" spans="6:10" ht="15">
      <c r="F772" s="34"/>
      <c r="I772" s="35"/>
      <c r="J772" s="35"/>
    </row>
    <row r="773" spans="6:10" ht="15">
      <c r="F773" s="34"/>
      <c r="I773" s="35"/>
      <c r="J773" s="35"/>
    </row>
    <row r="774" spans="6:10" ht="15">
      <c r="F774" s="34"/>
      <c r="I774" s="35"/>
      <c r="J774" s="35"/>
    </row>
    <row r="775" spans="6:10" ht="15">
      <c r="F775" s="34"/>
      <c r="I775" s="35"/>
      <c r="J775" s="35"/>
    </row>
    <row r="776" spans="6:10" ht="15">
      <c r="F776" s="34"/>
      <c r="I776" s="35"/>
      <c r="J776" s="35"/>
    </row>
    <row r="777" spans="6:10" ht="15">
      <c r="F777" s="34"/>
      <c r="I777" s="35"/>
      <c r="J777" s="35"/>
    </row>
    <row r="778" spans="6:10" ht="15">
      <c r="F778" s="34"/>
      <c r="I778" s="35"/>
      <c r="J778" s="35"/>
    </row>
    <row r="779" spans="6:10" ht="15">
      <c r="F779" s="34"/>
      <c r="I779" s="35"/>
      <c r="J779" s="35"/>
    </row>
    <row r="780" spans="6:10" ht="15">
      <c r="F780" s="34"/>
      <c r="I780" s="35"/>
      <c r="J780" s="35"/>
    </row>
    <row r="781" spans="6:10" ht="15">
      <c r="F781" s="34"/>
      <c r="I781" s="35"/>
      <c r="J781" s="35"/>
    </row>
    <row r="782" spans="6:10" ht="15">
      <c r="F782" s="34"/>
      <c r="I782" s="35"/>
      <c r="J782" s="35"/>
    </row>
    <row r="783" spans="6:10" ht="15">
      <c r="F783" s="34"/>
      <c r="I783" s="35"/>
      <c r="J783" s="35"/>
    </row>
    <row r="784" spans="6:10" ht="15">
      <c r="F784" s="34"/>
      <c r="I784" s="35"/>
      <c r="J784" s="35"/>
    </row>
    <row r="785" spans="6:10" ht="15">
      <c r="F785" s="34"/>
      <c r="I785" s="35"/>
      <c r="J785" s="35"/>
    </row>
    <row r="786" spans="6:10" ht="15">
      <c r="F786" s="34"/>
      <c r="I786" s="35"/>
      <c r="J786" s="35"/>
    </row>
    <row r="787" spans="6:10" ht="15">
      <c r="F787" s="34"/>
      <c r="I787" s="35"/>
      <c r="J787" s="35"/>
    </row>
    <row r="788" spans="6:10" ht="15">
      <c r="F788" s="34"/>
      <c r="I788" s="35"/>
      <c r="J788" s="35"/>
    </row>
    <row r="789" spans="6:10" ht="15">
      <c r="F789" s="34"/>
      <c r="I789" s="35"/>
      <c r="J789" s="35"/>
    </row>
    <row r="790" spans="6:10" ht="15">
      <c r="F790" s="34"/>
      <c r="I790" s="35"/>
      <c r="J790" s="35"/>
    </row>
    <row r="791" spans="6:10" ht="15">
      <c r="F791" s="34"/>
      <c r="I791" s="35"/>
      <c r="J791" s="35"/>
    </row>
    <row r="792" spans="6:10" ht="15">
      <c r="F792" s="34"/>
      <c r="I792" s="35"/>
      <c r="J792" s="35"/>
    </row>
    <row r="793" spans="6:10" ht="15">
      <c r="F793" s="34"/>
      <c r="I793" s="35"/>
      <c r="J793" s="35"/>
    </row>
    <row r="794" spans="6:10" ht="15">
      <c r="F794" s="34"/>
      <c r="I794" s="35"/>
      <c r="J794" s="35"/>
    </row>
    <row r="795" spans="6:10" ht="15">
      <c r="F795" s="34"/>
      <c r="I795" s="35"/>
      <c r="J795" s="35"/>
    </row>
    <row r="796" spans="6:10" ht="15">
      <c r="F796" s="34"/>
      <c r="I796" s="35"/>
      <c r="J796" s="35"/>
    </row>
    <row r="797" spans="6:10" ht="15">
      <c r="F797" s="34"/>
      <c r="I797" s="35"/>
      <c r="J797" s="35"/>
    </row>
    <row r="798" spans="6:10" ht="15">
      <c r="F798" s="34"/>
      <c r="I798" s="35"/>
      <c r="J798" s="35"/>
    </row>
    <row r="799" spans="6:10" ht="15">
      <c r="F799" s="34"/>
      <c r="I799" s="35"/>
      <c r="J799" s="35"/>
    </row>
    <row r="800" spans="6:10" ht="15">
      <c r="F800" s="34"/>
      <c r="I800" s="35"/>
      <c r="J800" s="35"/>
    </row>
    <row r="801" spans="6:10" ht="15">
      <c r="F801" s="34"/>
      <c r="I801" s="35"/>
      <c r="J801" s="35"/>
    </row>
    <row r="802" spans="6:10" ht="15">
      <c r="F802" s="34"/>
      <c r="I802" s="35"/>
      <c r="J802" s="35"/>
    </row>
    <row r="803" spans="6:10" ht="15">
      <c r="F803" s="34"/>
      <c r="I803" s="35"/>
      <c r="J803" s="35"/>
    </row>
    <row r="804" spans="6:10" ht="15">
      <c r="F804" s="34"/>
      <c r="I804" s="35"/>
      <c r="J804" s="35"/>
    </row>
    <row r="805" spans="6:10" ht="15">
      <c r="F805" s="34"/>
      <c r="I805" s="35"/>
      <c r="J805" s="35"/>
    </row>
    <row r="806" spans="6:10" ht="15">
      <c r="F806" s="34"/>
      <c r="I806" s="35"/>
      <c r="J806" s="35"/>
    </row>
    <row r="807" spans="6:10" ht="15">
      <c r="F807" s="34"/>
      <c r="I807" s="35"/>
      <c r="J807" s="35"/>
    </row>
    <row r="808" spans="6:10" ht="15">
      <c r="F808" s="34"/>
      <c r="I808" s="35"/>
      <c r="J808" s="35"/>
    </row>
    <row r="809" spans="6:10" ht="15">
      <c r="F809" s="34"/>
      <c r="I809" s="35"/>
      <c r="J809" s="35"/>
    </row>
    <row r="810" spans="6:10" ht="15">
      <c r="F810" s="34"/>
      <c r="I810" s="35"/>
      <c r="J810" s="35"/>
    </row>
    <row r="811" spans="6:10" ht="15">
      <c r="F811" s="34"/>
      <c r="I811" s="35"/>
      <c r="J811" s="35"/>
    </row>
    <row r="812" spans="6:10" ht="15">
      <c r="F812" s="34"/>
      <c r="I812" s="35"/>
      <c r="J812" s="35"/>
    </row>
    <row r="813" spans="6:10" ht="15">
      <c r="F813" s="34"/>
      <c r="I813" s="35"/>
      <c r="J813" s="35"/>
    </row>
    <row r="814" spans="6:10" ht="15">
      <c r="F814" s="34"/>
      <c r="I814" s="35"/>
      <c r="J814" s="35"/>
    </row>
    <row r="815" spans="6:10" ht="15">
      <c r="F815" s="34"/>
      <c r="I815" s="35"/>
      <c r="J815" s="35"/>
    </row>
    <row r="816" spans="6:10" ht="15">
      <c r="F816" s="34"/>
      <c r="I816" s="35"/>
      <c r="J816" s="35"/>
    </row>
    <row r="817" spans="6:10" ht="15">
      <c r="F817" s="34"/>
      <c r="I817" s="35"/>
      <c r="J817" s="35"/>
    </row>
    <row r="818" spans="6:10" ht="15">
      <c r="F818" s="34"/>
      <c r="I818" s="35"/>
      <c r="J818" s="35"/>
    </row>
    <row r="819" spans="6:10" ht="15">
      <c r="F819" s="34"/>
      <c r="I819" s="35"/>
      <c r="J819" s="35"/>
    </row>
    <row r="820" spans="6:10" ht="15">
      <c r="F820" s="34"/>
      <c r="I820" s="35"/>
      <c r="J820" s="35"/>
    </row>
    <row r="821" spans="6:10" ht="15">
      <c r="F821" s="34"/>
      <c r="I821" s="35"/>
      <c r="J821" s="35"/>
    </row>
    <row r="822" spans="6:10" ht="15">
      <c r="F822" s="34"/>
      <c r="I822" s="35"/>
      <c r="J822" s="35"/>
    </row>
    <row r="823" spans="6:10" ht="15">
      <c r="F823" s="34"/>
      <c r="I823" s="35"/>
      <c r="J823" s="35"/>
    </row>
    <row r="824" spans="6:10" ht="15">
      <c r="F824" s="34"/>
      <c r="I824" s="35"/>
      <c r="J824" s="35"/>
    </row>
    <row r="825" spans="6:10" ht="15">
      <c r="F825" s="34"/>
      <c r="I825" s="35"/>
      <c r="J825" s="35"/>
    </row>
    <row r="826" spans="6:10" ht="15">
      <c r="F826" s="34"/>
      <c r="I826" s="35"/>
      <c r="J826" s="35"/>
    </row>
    <row r="827" spans="6:10" ht="15">
      <c r="F827" s="34"/>
      <c r="I827" s="35"/>
      <c r="J827" s="35"/>
    </row>
    <row r="828" spans="6:10" ht="15">
      <c r="F828" s="34"/>
      <c r="I828" s="35"/>
      <c r="J828" s="35"/>
    </row>
    <row r="829" spans="6:10" ht="15">
      <c r="F829" s="34"/>
      <c r="I829" s="35"/>
      <c r="J829" s="35"/>
    </row>
    <row r="830" spans="6:10" ht="15">
      <c r="F830" s="34"/>
      <c r="I830" s="35"/>
      <c r="J830" s="35"/>
    </row>
    <row r="831" spans="6:10" ht="15">
      <c r="F831" s="34"/>
      <c r="I831" s="35"/>
      <c r="J831" s="35"/>
    </row>
    <row r="832" spans="6:10" ht="15">
      <c r="F832" s="34"/>
      <c r="I832" s="35"/>
      <c r="J832" s="35"/>
    </row>
    <row r="833" spans="6:10" ht="15">
      <c r="F833" s="34"/>
      <c r="I833" s="35"/>
      <c r="J833" s="35"/>
    </row>
    <row r="834" spans="6:10" ht="15">
      <c r="F834" s="34"/>
      <c r="I834" s="35"/>
      <c r="J834" s="35"/>
    </row>
    <row r="835" spans="6:10" ht="15">
      <c r="F835" s="34"/>
      <c r="I835" s="35"/>
      <c r="J835" s="35"/>
    </row>
    <row r="836" spans="6:10" ht="15">
      <c r="F836" s="34"/>
      <c r="I836" s="35"/>
      <c r="J836" s="35"/>
    </row>
    <row r="837" spans="6:10" ht="15">
      <c r="F837" s="34"/>
      <c r="I837" s="35"/>
      <c r="J837" s="35"/>
    </row>
    <row r="838" spans="6:10" ht="15">
      <c r="F838" s="34"/>
      <c r="I838" s="35"/>
      <c r="J838" s="35"/>
    </row>
    <row r="839" spans="6:10" ht="15">
      <c r="F839" s="34"/>
      <c r="I839" s="35"/>
      <c r="J839" s="35"/>
    </row>
    <row r="840" spans="6:10" ht="15">
      <c r="F840" s="34"/>
      <c r="I840" s="35"/>
      <c r="J840" s="35"/>
    </row>
    <row r="841" spans="6:10" ht="15">
      <c r="F841" s="34"/>
      <c r="I841" s="35"/>
      <c r="J841" s="35"/>
    </row>
    <row r="842" spans="6:10" ht="15">
      <c r="F842" s="34"/>
      <c r="I842" s="35"/>
      <c r="J842" s="35"/>
    </row>
    <row r="843" spans="6:10" ht="15">
      <c r="F843" s="34"/>
      <c r="I843" s="35"/>
      <c r="J843" s="35"/>
    </row>
    <row r="844" spans="6:10" ht="15">
      <c r="F844" s="34"/>
      <c r="I844" s="35"/>
      <c r="J844" s="35"/>
    </row>
    <row r="845" spans="6:10" ht="15">
      <c r="F845" s="34"/>
      <c r="I845" s="35"/>
      <c r="J845" s="35"/>
    </row>
    <row r="846" spans="6:10" ht="15">
      <c r="F846" s="34"/>
      <c r="I846" s="35"/>
      <c r="J846" s="35"/>
    </row>
    <row r="847" spans="6:10" ht="15">
      <c r="F847" s="34"/>
      <c r="I847" s="35"/>
      <c r="J847" s="35"/>
    </row>
    <row r="848" spans="6:10" ht="15">
      <c r="F848" s="34"/>
      <c r="I848" s="35"/>
      <c r="J848" s="35"/>
    </row>
    <row r="849" spans="6:10" ht="15">
      <c r="F849" s="34"/>
      <c r="I849" s="35"/>
      <c r="J849" s="35"/>
    </row>
    <row r="850" spans="6:10" ht="15">
      <c r="F850" s="34"/>
      <c r="I850" s="35"/>
      <c r="J850" s="35"/>
    </row>
    <row r="851" spans="6:10" ht="15">
      <c r="F851" s="34"/>
      <c r="I851" s="35"/>
      <c r="J851" s="35"/>
    </row>
    <row r="852" spans="6:10" ht="15">
      <c r="F852" s="34"/>
      <c r="I852" s="35"/>
      <c r="J852" s="35"/>
    </row>
    <row r="853" spans="6:10" ht="15">
      <c r="F853" s="34"/>
      <c r="I853" s="35"/>
      <c r="J853" s="35"/>
    </row>
    <row r="854" spans="6:10" ht="15">
      <c r="F854" s="34"/>
      <c r="I854" s="35"/>
      <c r="J854" s="35"/>
    </row>
    <row r="855" spans="6:10" ht="15">
      <c r="F855" s="34"/>
      <c r="I855" s="35"/>
      <c r="J855" s="35"/>
    </row>
    <row r="856" spans="6:10" ht="15">
      <c r="F856" s="34"/>
      <c r="I856" s="35"/>
      <c r="J856" s="35"/>
    </row>
    <row r="857" spans="6:10" ht="15">
      <c r="F857" s="34"/>
      <c r="I857" s="35"/>
      <c r="J857" s="35"/>
    </row>
    <row r="858" spans="6:10" ht="15">
      <c r="F858" s="34"/>
      <c r="I858" s="35"/>
      <c r="J858" s="35"/>
    </row>
    <row r="859" spans="6:10" ht="15">
      <c r="F859" s="34"/>
      <c r="I859" s="35"/>
      <c r="J859" s="35"/>
    </row>
    <row r="860" spans="6:10" ht="15">
      <c r="F860" s="34"/>
      <c r="I860" s="35"/>
      <c r="J860" s="35"/>
    </row>
    <row r="861" spans="6:10" ht="15">
      <c r="F861" s="34"/>
      <c r="I861" s="35"/>
      <c r="J861" s="35"/>
    </row>
    <row r="862" spans="6:10" ht="15">
      <c r="F862" s="34"/>
      <c r="I862" s="35"/>
      <c r="J862" s="35"/>
    </row>
    <row r="863" spans="6:10" ht="15">
      <c r="F863" s="34"/>
      <c r="I863" s="35"/>
      <c r="J863" s="35"/>
    </row>
    <row r="864" spans="6:10" ht="15">
      <c r="F864" s="34"/>
      <c r="I864" s="35"/>
      <c r="J864" s="35"/>
    </row>
    <row r="865" spans="6:10" ht="15">
      <c r="F865" s="34"/>
      <c r="I865" s="35"/>
      <c r="J865" s="35"/>
    </row>
    <row r="866" spans="6:10" ht="15">
      <c r="F866" s="34"/>
      <c r="I866" s="35"/>
      <c r="J866" s="35"/>
    </row>
    <row r="867" spans="6:10" ht="15">
      <c r="F867" s="34"/>
      <c r="I867" s="35"/>
      <c r="J867" s="35"/>
    </row>
    <row r="868" spans="6:10" ht="15">
      <c r="F868" s="34"/>
      <c r="I868" s="35"/>
      <c r="J868" s="35"/>
    </row>
    <row r="869" spans="6:10" ht="15">
      <c r="F869" s="34"/>
      <c r="I869" s="35"/>
      <c r="J869" s="35"/>
    </row>
    <row r="870" spans="6:10" ht="15">
      <c r="F870" s="34"/>
      <c r="I870" s="35"/>
      <c r="J870" s="35"/>
    </row>
    <row r="871" spans="6:10" ht="15">
      <c r="F871" s="34"/>
      <c r="I871" s="35"/>
      <c r="J871" s="35"/>
    </row>
    <row r="872" spans="6:10" ht="15">
      <c r="F872" s="34"/>
      <c r="I872" s="35"/>
      <c r="J872" s="35"/>
    </row>
    <row r="873" spans="6:10" ht="15">
      <c r="F873" s="34"/>
      <c r="I873" s="35"/>
      <c r="J873" s="35"/>
    </row>
    <row r="874" spans="6:10" ht="15">
      <c r="F874" s="34"/>
      <c r="I874" s="35"/>
      <c r="J874" s="35"/>
    </row>
    <row r="875" spans="6:10" ht="15">
      <c r="F875" s="34"/>
      <c r="I875" s="35"/>
      <c r="J875" s="35"/>
    </row>
    <row r="876" spans="6:10" ht="15">
      <c r="F876" s="34"/>
      <c r="I876" s="35"/>
      <c r="J876" s="35"/>
    </row>
    <row r="877" spans="6:10" ht="15">
      <c r="F877" s="34"/>
      <c r="I877" s="35"/>
      <c r="J877" s="35"/>
    </row>
    <row r="878" spans="6:10" ht="15">
      <c r="F878" s="34"/>
      <c r="I878" s="35"/>
      <c r="J878" s="35"/>
    </row>
    <row r="879" spans="6:10" ht="15">
      <c r="F879" s="34"/>
      <c r="I879" s="35"/>
      <c r="J879" s="35"/>
    </row>
    <row r="880" spans="6:10" ht="15">
      <c r="F880" s="34"/>
      <c r="I880" s="35"/>
      <c r="J880" s="35"/>
    </row>
    <row r="881" spans="6:10" ht="15">
      <c r="F881" s="34"/>
      <c r="I881" s="35"/>
      <c r="J881" s="35"/>
    </row>
    <row r="882" spans="6:10" ht="15">
      <c r="F882" s="34"/>
      <c r="I882" s="35"/>
      <c r="J882" s="35"/>
    </row>
    <row r="883" spans="6:10" ht="15">
      <c r="F883" s="34"/>
      <c r="I883" s="35"/>
      <c r="J883" s="35"/>
    </row>
    <row r="884" spans="6:10" ht="15">
      <c r="F884" s="34"/>
      <c r="I884" s="35"/>
      <c r="J884" s="35"/>
    </row>
    <row r="885" spans="6:10" ht="15">
      <c r="F885" s="34"/>
      <c r="I885" s="35"/>
      <c r="J885" s="35"/>
    </row>
    <row r="886" spans="6:10" ht="15">
      <c r="F886" s="34"/>
      <c r="I886" s="35"/>
      <c r="J886" s="35"/>
    </row>
    <row r="887" spans="6:10" ht="15">
      <c r="F887" s="34"/>
      <c r="I887" s="35"/>
      <c r="J887" s="35"/>
    </row>
    <row r="888" spans="6:10" ht="15">
      <c r="F888" s="34"/>
      <c r="I888" s="35"/>
      <c r="J888" s="35"/>
    </row>
    <row r="889" spans="6:10" ht="15">
      <c r="F889" s="34"/>
      <c r="I889" s="35"/>
      <c r="J889" s="35"/>
    </row>
    <row r="890" spans="6:10" ht="15">
      <c r="F890" s="34"/>
      <c r="I890" s="35"/>
      <c r="J890" s="35"/>
    </row>
    <row r="891" spans="6:10" ht="15">
      <c r="F891" s="34"/>
      <c r="I891" s="35"/>
      <c r="J891" s="35"/>
    </row>
    <row r="892" spans="6:10" ht="15">
      <c r="F892" s="34"/>
      <c r="I892" s="35"/>
      <c r="J892" s="35"/>
    </row>
    <row r="893" spans="6:10" ht="15">
      <c r="F893" s="34"/>
      <c r="I893" s="35"/>
      <c r="J893" s="35"/>
    </row>
    <row r="894" spans="6:10" ht="15">
      <c r="F894" s="34"/>
      <c r="I894" s="35"/>
      <c r="J894" s="35"/>
    </row>
    <row r="895" spans="6:10" ht="15">
      <c r="F895" s="34"/>
      <c r="I895" s="35"/>
      <c r="J895" s="35"/>
    </row>
    <row r="896" spans="6:10" ht="15">
      <c r="F896" s="34"/>
      <c r="I896" s="35"/>
      <c r="J896" s="35"/>
    </row>
    <row r="897" spans="6:10" ht="15">
      <c r="F897" s="34"/>
      <c r="I897" s="35"/>
      <c r="J897" s="35"/>
    </row>
    <row r="898" spans="6:10" ht="15">
      <c r="F898" s="34"/>
      <c r="I898" s="35"/>
      <c r="J898" s="35"/>
    </row>
    <row r="899" spans="6:10" ht="15">
      <c r="F899" s="34"/>
      <c r="I899" s="35"/>
      <c r="J899" s="35"/>
    </row>
    <row r="900" spans="6:10" ht="15">
      <c r="F900" s="34"/>
      <c r="I900" s="35"/>
      <c r="J900" s="35"/>
    </row>
    <row r="901" spans="6:10" ht="15">
      <c r="F901" s="34"/>
      <c r="I901" s="35"/>
      <c r="J901" s="35"/>
    </row>
    <row r="902" spans="6:10" ht="15">
      <c r="F902" s="34"/>
      <c r="I902" s="35"/>
      <c r="J902" s="35"/>
    </row>
    <row r="903" spans="6:10" ht="15">
      <c r="F903" s="34"/>
      <c r="I903" s="35"/>
      <c r="J903" s="35"/>
    </row>
    <row r="904" spans="6:10" ht="15">
      <c r="F904" s="34"/>
      <c r="I904" s="35"/>
      <c r="J904" s="35"/>
    </row>
    <row r="905" spans="6:10" ht="15">
      <c r="F905" s="34"/>
      <c r="I905" s="35"/>
      <c r="J905" s="35"/>
    </row>
    <row r="906" spans="6:10" ht="15">
      <c r="F906" s="34"/>
      <c r="I906" s="35"/>
      <c r="J906" s="35"/>
    </row>
    <row r="907" spans="6:10" ht="15">
      <c r="F907" s="34"/>
      <c r="I907" s="35"/>
      <c r="J907" s="35"/>
    </row>
    <row r="908" spans="6:10" ht="15">
      <c r="F908" s="34"/>
      <c r="I908" s="35"/>
      <c r="J908" s="35"/>
    </row>
    <row r="909" spans="6:10" ht="15">
      <c r="F909" s="34"/>
      <c r="I909" s="35"/>
      <c r="J909" s="35"/>
    </row>
    <row r="910" spans="6:10" ht="15">
      <c r="F910" s="34"/>
      <c r="I910" s="35"/>
      <c r="J910" s="35"/>
    </row>
    <row r="911" spans="6:10" ht="15">
      <c r="F911" s="34"/>
      <c r="I911" s="35"/>
      <c r="J911" s="35"/>
    </row>
    <row r="912" spans="6:10" ht="15">
      <c r="F912" s="34"/>
      <c r="I912" s="35"/>
      <c r="J912" s="35"/>
    </row>
    <row r="913" spans="6:10" ht="15">
      <c r="F913" s="34"/>
      <c r="I913" s="35"/>
      <c r="J913" s="35"/>
    </row>
    <row r="914" spans="6:10" ht="15">
      <c r="F914" s="34"/>
      <c r="I914" s="35"/>
      <c r="J914" s="35"/>
    </row>
    <row r="915" spans="6:10" ht="15">
      <c r="F915" s="34"/>
      <c r="I915" s="35"/>
      <c r="J915" s="35"/>
    </row>
    <row r="916" spans="6:10" ht="15">
      <c r="F916" s="34"/>
      <c r="I916" s="35"/>
      <c r="J916" s="35"/>
    </row>
    <row r="917" spans="6:10" ht="15">
      <c r="F917" s="34"/>
      <c r="I917" s="35"/>
      <c r="J917" s="35"/>
    </row>
    <row r="918" spans="6:10" ht="15">
      <c r="F918" s="34"/>
      <c r="I918" s="35"/>
      <c r="J918" s="35"/>
    </row>
    <row r="919" spans="6:10" ht="15">
      <c r="F919" s="34"/>
      <c r="I919" s="35"/>
      <c r="J919" s="35"/>
    </row>
    <row r="920" spans="6:10" ht="15">
      <c r="F920" s="34"/>
      <c r="I920" s="35"/>
      <c r="J920" s="35"/>
    </row>
    <row r="921" spans="6:10" ht="15">
      <c r="F921" s="34"/>
      <c r="I921" s="35"/>
      <c r="J921" s="35"/>
    </row>
    <row r="922" spans="6:10" ht="15">
      <c r="F922" s="34"/>
      <c r="I922" s="35"/>
      <c r="J922" s="35"/>
    </row>
    <row r="923" spans="6:10" ht="15">
      <c r="F923" s="34"/>
      <c r="I923" s="35"/>
      <c r="J923" s="35"/>
    </row>
    <row r="924" spans="6:10" ht="15">
      <c r="F924" s="34"/>
      <c r="I924" s="35"/>
      <c r="J924" s="35"/>
    </row>
    <row r="925" spans="6:10" ht="15">
      <c r="F925" s="34"/>
      <c r="I925" s="35"/>
      <c r="J925" s="35"/>
    </row>
    <row r="926" spans="6:10" ht="15">
      <c r="F926" s="34"/>
      <c r="I926" s="35"/>
      <c r="J926" s="35"/>
    </row>
    <row r="927" spans="6:10" ht="15">
      <c r="F927" s="34"/>
      <c r="I927" s="35"/>
      <c r="J927" s="35"/>
    </row>
    <row r="928" spans="6:10" ht="15">
      <c r="F928" s="34"/>
      <c r="I928" s="35"/>
      <c r="J928" s="35"/>
    </row>
    <row r="929" spans="6:10" ht="15">
      <c r="F929" s="34"/>
      <c r="I929" s="35"/>
      <c r="J929" s="35"/>
    </row>
    <row r="930" spans="6:10" ht="15">
      <c r="F930" s="34"/>
      <c r="I930" s="35"/>
      <c r="J930" s="35"/>
    </row>
    <row r="931" spans="6:10" ht="15">
      <c r="F931" s="34"/>
      <c r="I931" s="35"/>
      <c r="J931" s="35"/>
    </row>
    <row r="932" spans="6:10" ht="15">
      <c r="F932" s="34"/>
      <c r="I932" s="35"/>
      <c r="J932" s="35"/>
    </row>
    <row r="933" spans="6:10" ht="15">
      <c r="F933" s="34"/>
      <c r="I933" s="35"/>
      <c r="J933" s="35"/>
    </row>
    <row r="934" spans="6:10" ht="15">
      <c r="F934" s="34"/>
      <c r="I934" s="35"/>
      <c r="J934" s="35"/>
    </row>
    <row r="935" spans="6:10" ht="15">
      <c r="F935" s="34"/>
      <c r="I935" s="35"/>
      <c r="J935" s="35"/>
    </row>
    <row r="936" spans="6:10" ht="15">
      <c r="F936" s="34"/>
      <c r="I936" s="35"/>
      <c r="J936" s="35"/>
    </row>
    <row r="937" spans="6:10" ht="15">
      <c r="F937" s="34"/>
      <c r="I937" s="35"/>
      <c r="J937" s="35"/>
    </row>
    <row r="938" spans="6:10" ht="15">
      <c r="F938" s="34"/>
      <c r="I938" s="35"/>
      <c r="J938" s="35"/>
    </row>
    <row r="939" spans="6:10" ht="15">
      <c r="F939" s="34"/>
      <c r="I939" s="35"/>
      <c r="J939" s="35"/>
    </row>
    <row r="940" spans="6:10" ht="15">
      <c r="F940" s="34"/>
      <c r="I940" s="35"/>
      <c r="J940" s="35"/>
    </row>
    <row r="941" spans="6:10" ht="15">
      <c r="F941" s="34"/>
      <c r="I941" s="35"/>
      <c r="J941" s="35"/>
    </row>
    <row r="942" spans="6:10" ht="15">
      <c r="F942" s="34"/>
      <c r="I942" s="35"/>
      <c r="J942" s="35"/>
    </row>
    <row r="943" spans="6:10" ht="15">
      <c r="F943" s="34"/>
      <c r="I943" s="35"/>
      <c r="J943" s="35"/>
    </row>
    <row r="944" spans="6:10" ht="15">
      <c r="F944" s="34"/>
      <c r="I944" s="35"/>
      <c r="J944" s="35"/>
    </row>
    <row r="945" spans="6:10" ht="15">
      <c r="F945" s="34"/>
      <c r="I945" s="35"/>
      <c r="J945" s="35"/>
    </row>
    <row r="946" spans="6:10" ht="15">
      <c r="F946" s="34"/>
      <c r="I946" s="35"/>
      <c r="J946" s="35"/>
    </row>
    <row r="947" spans="6:10" ht="15">
      <c r="F947" s="34"/>
      <c r="I947" s="35"/>
      <c r="J947" s="35"/>
    </row>
    <row r="948" spans="6:10" ht="15">
      <c r="F948" s="34"/>
      <c r="I948" s="35"/>
      <c r="J948" s="35"/>
    </row>
    <row r="949" spans="6:10" ht="15">
      <c r="F949" s="34"/>
      <c r="I949" s="35"/>
      <c r="J949" s="35"/>
    </row>
    <row r="950" spans="6:10" ht="15">
      <c r="F950" s="34"/>
      <c r="I950" s="35"/>
      <c r="J950" s="35"/>
    </row>
    <row r="951" spans="6:10" ht="15">
      <c r="F951" s="34"/>
      <c r="I951" s="35"/>
      <c r="J951" s="35"/>
    </row>
    <row r="952" spans="6:10" ht="15">
      <c r="F952" s="34"/>
      <c r="I952" s="35"/>
      <c r="J952" s="35"/>
    </row>
    <row r="953" spans="6:10" ht="15">
      <c r="F953" s="34"/>
      <c r="I953" s="35"/>
      <c r="J953" s="35"/>
    </row>
    <row r="954" spans="6:10" ht="15">
      <c r="F954" s="34"/>
      <c r="I954" s="35"/>
      <c r="J954" s="35"/>
    </row>
    <row r="955" spans="6:10" ht="15">
      <c r="F955" s="34"/>
      <c r="I955" s="35"/>
      <c r="J955" s="35"/>
    </row>
    <row r="956" spans="6:10" ht="15">
      <c r="F956" s="34"/>
      <c r="I956" s="35"/>
      <c r="J956" s="35"/>
    </row>
    <row r="957" spans="6:10" ht="15">
      <c r="F957" s="34"/>
      <c r="I957" s="35"/>
      <c r="J957" s="35"/>
    </row>
    <row r="958" spans="6:10" ht="15">
      <c r="F958" s="34"/>
      <c r="I958" s="35"/>
      <c r="J958" s="35"/>
    </row>
    <row r="959" spans="6:10" ht="15">
      <c r="F959" s="34"/>
      <c r="I959" s="35"/>
      <c r="J959" s="35"/>
    </row>
    <row r="960" spans="6:10" ht="15">
      <c r="F960" s="34"/>
      <c r="I960" s="35"/>
      <c r="J960" s="35"/>
    </row>
    <row r="961" spans="6:10" ht="15">
      <c r="F961" s="34"/>
      <c r="I961" s="35"/>
      <c r="J961" s="35"/>
    </row>
    <row r="962" spans="6:10" ht="15">
      <c r="F962" s="34"/>
      <c r="I962" s="35"/>
      <c r="J962" s="35"/>
    </row>
    <row r="963" spans="6:10" ht="15">
      <c r="F963" s="34"/>
      <c r="I963" s="35"/>
      <c r="J963" s="35"/>
    </row>
    <row r="964" spans="6:10" ht="15">
      <c r="F964" s="34"/>
      <c r="I964" s="35"/>
      <c r="J964" s="35"/>
    </row>
    <row r="965" spans="6:10" ht="15">
      <c r="F965" s="34"/>
      <c r="I965" s="35"/>
      <c r="J965" s="35"/>
    </row>
    <row r="966" spans="6:10" ht="15">
      <c r="F966" s="34"/>
      <c r="I966" s="35"/>
      <c r="J966" s="35"/>
    </row>
    <row r="967" spans="6:10" ht="15">
      <c r="F967" s="34"/>
      <c r="I967" s="35"/>
      <c r="J967" s="35"/>
    </row>
    <row r="968" spans="6:10" ht="15">
      <c r="F968" s="34"/>
      <c r="I968" s="35"/>
      <c r="J968" s="35"/>
    </row>
    <row r="969" spans="6:10" ht="15">
      <c r="F969" s="34"/>
      <c r="I969" s="35"/>
      <c r="J969" s="35"/>
    </row>
    <row r="970" spans="6:10" ht="15">
      <c r="F970" s="34"/>
      <c r="I970" s="35"/>
      <c r="J970" s="35"/>
    </row>
    <row r="971" spans="6:10" ht="15">
      <c r="F971" s="34"/>
      <c r="I971" s="35"/>
      <c r="J971" s="35"/>
    </row>
    <row r="972" spans="6:10" ht="15">
      <c r="F972" s="34"/>
      <c r="I972" s="35"/>
      <c r="J972" s="35"/>
    </row>
    <row r="973" spans="6:10" ht="15">
      <c r="F973" s="34"/>
      <c r="I973" s="35"/>
      <c r="J973" s="35"/>
    </row>
    <row r="974" spans="6:10" ht="15">
      <c r="F974" s="34"/>
      <c r="I974" s="35"/>
      <c r="J974" s="35"/>
    </row>
    <row r="975" spans="6:10" ht="15">
      <c r="F975" s="34"/>
      <c r="I975" s="35"/>
      <c r="J975" s="35"/>
    </row>
    <row r="976" spans="6:10" ht="15">
      <c r="F976" s="34"/>
      <c r="I976" s="35"/>
      <c r="J976" s="35"/>
    </row>
    <row r="977" spans="6:10" ht="15">
      <c r="F977" s="34"/>
      <c r="I977" s="35"/>
      <c r="J977" s="35"/>
    </row>
    <row r="978" spans="6:10" ht="15">
      <c r="F978" s="34"/>
      <c r="I978" s="35"/>
      <c r="J978" s="35"/>
    </row>
    <row r="979" spans="6:10" ht="15">
      <c r="F979" s="34"/>
      <c r="I979" s="35"/>
      <c r="J979" s="35"/>
    </row>
    <row r="980" spans="6:10" ht="15">
      <c r="F980" s="34"/>
      <c r="I980" s="35"/>
      <c r="J980" s="35"/>
    </row>
    <row r="981" spans="6:10" ht="15">
      <c r="F981" s="34"/>
      <c r="I981" s="35"/>
      <c r="J981" s="35"/>
    </row>
    <row r="982" spans="6:10" ht="15">
      <c r="F982" s="34"/>
      <c r="I982" s="35"/>
      <c r="J982" s="35"/>
    </row>
    <row r="983" spans="6:10" ht="15">
      <c r="F983" s="34"/>
      <c r="I983" s="35"/>
      <c r="J983" s="35"/>
    </row>
    <row r="984" spans="6:10" ht="15">
      <c r="F984" s="34"/>
      <c r="I984" s="35"/>
      <c r="J984" s="35"/>
    </row>
    <row r="985" spans="6:10" ht="15">
      <c r="F985" s="34"/>
      <c r="I985" s="35"/>
      <c r="J985" s="35"/>
    </row>
    <row r="986" spans="6:10" ht="15">
      <c r="F986" s="34"/>
      <c r="I986" s="35"/>
      <c r="J986" s="35"/>
    </row>
    <row r="987" spans="6:10" ht="15">
      <c r="F987" s="34"/>
      <c r="I987" s="35"/>
      <c r="J987" s="35"/>
    </row>
    <row r="988" spans="6:10" ht="15">
      <c r="F988" s="34"/>
      <c r="I988" s="35"/>
      <c r="J988" s="35"/>
    </row>
    <row r="989" spans="6:10" ht="15">
      <c r="F989" s="34"/>
      <c r="I989" s="35"/>
      <c r="J989" s="35"/>
    </row>
    <row r="990" spans="6:10" ht="15">
      <c r="F990" s="34"/>
      <c r="I990" s="35"/>
      <c r="J990" s="35"/>
    </row>
    <row r="991" spans="6:10" ht="15">
      <c r="F991" s="34"/>
      <c r="I991" s="35"/>
      <c r="J991" s="35"/>
    </row>
    <row r="992" spans="6:10" ht="15">
      <c r="F992" s="34"/>
      <c r="I992" s="35"/>
      <c r="J992" s="35"/>
    </row>
    <row r="993" spans="6:10" ht="15">
      <c r="F993" s="34"/>
      <c r="I993" s="35"/>
      <c r="J993" s="35"/>
    </row>
    <row r="994" spans="6:10" ht="15">
      <c r="F994" s="34"/>
      <c r="I994" s="35"/>
      <c r="J994" s="35"/>
    </row>
    <row r="995" spans="6:10" ht="15">
      <c r="F995" s="34"/>
      <c r="I995" s="35"/>
      <c r="J995" s="35"/>
    </row>
    <row r="996" spans="6:10" ht="15">
      <c r="F996" s="34"/>
      <c r="I996" s="35"/>
      <c r="J996" s="35"/>
    </row>
    <row r="997" spans="6:10" ht="15">
      <c r="F997" s="34"/>
      <c r="I997" s="35"/>
      <c r="J997" s="35"/>
    </row>
    <row r="998" spans="6:10" ht="15">
      <c r="F998" s="34"/>
      <c r="I998" s="35"/>
      <c r="J998" s="35"/>
    </row>
    <row r="999" spans="6:10" ht="15">
      <c r="F999" s="34"/>
      <c r="I999" s="35"/>
      <c r="J999" s="35"/>
    </row>
    <row r="1000" spans="6:10" ht="15">
      <c r="F1000" s="34"/>
      <c r="I1000" s="35"/>
      <c r="J1000" s="35"/>
    </row>
    <row r="1001" spans="6:10" ht="15">
      <c r="F1001" s="34"/>
      <c r="I1001" s="35"/>
      <c r="J1001" s="35"/>
    </row>
    <row r="1002" spans="6:10" ht="15">
      <c r="F1002" s="34"/>
      <c r="I1002" s="35"/>
      <c r="J1002" s="35"/>
    </row>
    <row r="1003" spans="6:10" ht="15">
      <c r="F1003" s="34"/>
      <c r="I1003" s="35"/>
      <c r="J1003" s="35"/>
    </row>
    <row r="1004" spans="6:10" ht="15">
      <c r="F1004" s="34"/>
      <c r="I1004" s="35"/>
      <c r="J1004" s="35"/>
    </row>
    <row r="1005" spans="6:10" ht="15">
      <c r="F1005" s="34"/>
      <c r="I1005" s="35"/>
      <c r="J1005" s="35"/>
    </row>
    <row r="1006" spans="6:10" ht="15">
      <c r="F1006" s="34"/>
      <c r="I1006" s="35"/>
      <c r="J1006" s="35"/>
    </row>
    <row r="1007" spans="6:10" ht="15">
      <c r="F1007" s="34"/>
      <c r="I1007" s="35"/>
      <c r="J1007" s="35"/>
    </row>
    <row r="1008" spans="6:10" ht="15">
      <c r="F1008" s="34"/>
      <c r="I1008" s="35"/>
      <c r="J1008" s="35"/>
    </row>
    <row r="1009" spans="6:10" ht="15">
      <c r="F1009" s="34"/>
      <c r="I1009" s="35"/>
      <c r="J1009" s="35"/>
    </row>
    <row r="1010" spans="6:10" ht="15">
      <c r="F1010" s="34"/>
      <c r="I1010" s="35"/>
      <c r="J1010" s="35"/>
    </row>
    <row r="1011" spans="6:10" ht="15">
      <c r="F1011" s="34"/>
      <c r="I1011" s="35"/>
      <c r="J1011" s="35"/>
    </row>
    <row r="1012" spans="6:10" ht="15">
      <c r="F1012" s="34"/>
      <c r="I1012" s="35"/>
      <c r="J1012" s="35"/>
    </row>
    <row r="1013" spans="6:10" ht="15">
      <c r="F1013" s="34"/>
      <c r="I1013" s="35"/>
      <c r="J1013" s="35"/>
    </row>
    <row r="1014" spans="6:10" ht="15">
      <c r="F1014" s="34"/>
      <c r="I1014" s="35"/>
      <c r="J1014" s="35"/>
    </row>
    <row r="1015" spans="6:10" ht="15">
      <c r="F1015" s="34"/>
      <c r="I1015" s="35"/>
      <c r="J1015" s="35"/>
    </row>
    <row r="1016" spans="6:10" ht="15">
      <c r="F1016" s="34"/>
      <c r="I1016" s="35"/>
      <c r="J1016" s="35"/>
    </row>
    <row r="1017" spans="6:10" ht="15">
      <c r="F1017" s="34"/>
      <c r="I1017" s="35"/>
      <c r="J1017" s="35"/>
    </row>
  </sheetData>
  <autoFilter ref="A1:S36" xr:uid="{00000000-0001-0000-0000-000000000000}"/>
  <mergeCells count="5">
    <mergeCell ref="S44:V44"/>
    <mergeCell ref="U49:V49"/>
    <mergeCell ref="A2:A15"/>
    <mergeCell ref="A16:A35"/>
    <mergeCell ref="AB29:AD29"/>
  </mergeCells>
  <hyperlinks>
    <hyperlink ref="D35" r:id="rId1" xr:uid="{22FF5464-BE41-4BFA-9AC1-143BDF48DCF6}"/>
  </hyperlinks>
  <pageMargins left="0" right="0" top="0" bottom="0" header="0" footer="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83485-0889-4A66-B4AB-E23BCA869D71}">
  <sheetPr>
    <outlinePr summaryBelow="0" summaryRight="0"/>
  </sheetPr>
  <dimension ref="A1:S1018"/>
  <sheetViews>
    <sheetView tabSelected="1" topLeftCell="A31" workbookViewId="0">
      <pane xSplit="2" topLeftCell="E1" activePane="topRight" state="frozen"/>
      <selection pane="topRight" activeCell="F37" sqref="F37"/>
    </sheetView>
  </sheetViews>
  <sheetFormatPr baseColWidth="10" defaultColWidth="12.5546875" defaultRowHeight="15.75" customHeight="1"/>
  <cols>
    <col min="2" max="2" width="39" customWidth="1"/>
    <col min="3" max="3" width="76.5546875" customWidth="1"/>
    <col min="4" max="4" width="48.6640625" customWidth="1"/>
    <col min="5" max="5" width="41.6640625" customWidth="1"/>
    <col min="6" max="8" width="38" customWidth="1"/>
    <col min="9" max="9" width="37.6640625" customWidth="1"/>
    <col min="10" max="10" width="37.44140625" customWidth="1"/>
    <col min="11" max="11" width="37.5546875" customWidth="1"/>
    <col min="12" max="13" width="37.88671875" customWidth="1"/>
    <col min="14" max="14" width="37.44140625" customWidth="1"/>
    <col min="15" max="15" width="37.88671875" customWidth="1"/>
    <col min="16" max="16" width="37.6640625" customWidth="1"/>
    <col min="17" max="17" width="38.109375" customWidth="1"/>
    <col min="18" max="18" width="34" customWidth="1"/>
    <col min="19" max="19" width="28.88671875" customWidth="1"/>
  </cols>
  <sheetData>
    <row r="1" spans="1:19" ht="16.2">
      <c r="A1" s="294" t="s">
        <v>388</v>
      </c>
      <c r="B1" s="293" t="s">
        <v>90</v>
      </c>
      <c r="C1" s="293" t="s">
        <v>91</v>
      </c>
      <c r="D1" s="293" t="s">
        <v>92</v>
      </c>
      <c r="E1" s="314">
        <v>45992</v>
      </c>
      <c r="F1" s="307">
        <v>46023</v>
      </c>
      <c r="G1" s="307">
        <v>46054</v>
      </c>
      <c r="H1" s="307">
        <v>46082</v>
      </c>
      <c r="I1" s="307">
        <v>46113</v>
      </c>
      <c r="J1" s="307">
        <v>46143</v>
      </c>
      <c r="K1" s="307">
        <v>46174</v>
      </c>
      <c r="L1" s="307">
        <v>46204</v>
      </c>
      <c r="M1" s="307">
        <v>46235</v>
      </c>
      <c r="N1" s="307">
        <v>46266</v>
      </c>
      <c r="O1" s="307">
        <v>46296</v>
      </c>
      <c r="P1" s="307">
        <v>46327</v>
      </c>
      <c r="Q1" s="307">
        <v>46357</v>
      </c>
      <c r="R1" s="410" t="s">
        <v>102</v>
      </c>
      <c r="S1" s="410" t="s">
        <v>103</v>
      </c>
    </row>
    <row r="2" spans="1:19" ht="14.25" customHeight="1">
      <c r="A2" s="509" t="s">
        <v>276</v>
      </c>
      <c r="B2" s="295" t="s">
        <v>107</v>
      </c>
      <c r="C2" s="296" t="s">
        <v>108</v>
      </c>
      <c r="D2" s="297" t="s">
        <v>108</v>
      </c>
      <c r="E2" s="315">
        <v>18923669</v>
      </c>
      <c r="F2" s="315">
        <v>21338159</v>
      </c>
      <c r="G2" s="315">
        <v>18893006</v>
      </c>
      <c r="H2" s="289"/>
      <c r="I2" s="289"/>
      <c r="J2" s="289"/>
      <c r="K2" s="289"/>
      <c r="L2" s="289"/>
      <c r="M2" s="289"/>
      <c r="N2" s="289"/>
      <c r="O2" s="289"/>
      <c r="P2" s="289"/>
      <c r="Q2" s="407"/>
      <c r="R2" s="289"/>
      <c r="S2" s="289"/>
    </row>
    <row r="3" spans="1:19" ht="14.25" customHeight="1">
      <c r="A3" s="510"/>
      <c r="B3" s="295" t="s">
        <v>258</v>
      </c>
      <c r="C3" s="296" t="s">
        <v>111</v>
      </c>
      <c r="D3" s="297" t="s">
        <v>143</v>
      </c>
      <c r="E3" s="316" t="s">
        <v>287</v>
      </c>
      <c r="F3" s="316" t="s">
        <v>113</v>
      </c>
      <c r="G3" s="316" t="s">
        <v>389</v>
      </c>
      <c r="H3" s="289"/>
      <c r="I3" s="289"/>
      <c r="J3" s="289"/>
      <c r="K3" s="289"/>
      <c r="L3" s="289"/>
      <c r="M3" s="289"/>
      <c r="N3" s="289"/>
      <c r="O3" s="289"/>
      <c r="P3" s="289"/>
      <c r="Q3" s="407"/>
      <c r="R3" s="289"/>
      <c r="S3" s="289"/>
    </row>
    <row r="4" spans="1:19" ht="14.25" customHeight="1">
      <c r="A4" s="510"/>
      <c r="B4" s="295" t="s">
        <v>115</v>
      </c>
      <c r="C4" s="296" t="s">
        <v>116</v>
      </c>
      <c r="D4" s="297" t="s">
        <v>117</v>
      </c>
      <c r="E4" s="315">
        <v>4042292</v>
      </c>
      <c r="F4" s="315">
        <v>4106889</v>
      </c>
      <c r="G4" s="315">
        <v>3631898</v>
      </c>
      <c r="H4" s="289"/>
      <c r="I4" s="289"/>
      <c r="J4" s="289"/>
      <c r="K4" s="289"/>
      <c r="L4" s="289"/>
      <c r="M4" s="289"/>
      <c r="N4" s="289"/>
      <c r="O4" s="289"/>
      <c r="P4" s="289"/>
      <c r="Q4" s="407"/>
      <c r="R4" s="289"/>
      <c r="S4" s="289"/>
    </row>
    <row r="5" spans="1:19" ht="14.25" customHeight="1">
      <c r="A5" s="510"/>
      <c r="B5" s="295" t="s">
        <v>129</v>
      </c>
      <c r="C5" s="296" t="s">
        <v>130</v>
      </c>
      <c r="D5" s="297" t="s">
        <v>117</v>
      </c>
      <c r="E5" s="315">
        <v>3830583</v>
      </c>
      <c r="F5" s="315">
        <v>3903784</v>
      </c>
      <c r="G5" s="315">
        <v>3421555</v>
      </c>
      <c r="H5" s="289"/>
      <c r="I5" s="309"/>
      <c r="J5" s="24"/>
      <c r="K5" s="24"/>
      <c r="L5" s="24"/>
      <c r="M5" s="310"/>
      <c r="N5" s="24"/>
      <c r="O5" s="24"/>
      <c r="P5" s="24"/>
      <c r="Q5" s="74"/>
      <c r="R5" s="24"/>
      <c r="S5" s="24"/>
    </row>
    <row r="6" spans="1:19" ht="14.25" customHeight="1">
      <c r="A6" s="510"/>
      <c r="B6" s="295" t="s">
        <v>137</v>
      </c>
      <c r="C6" s="296" t="s">
        <v>138</v>
      </c>
      <c r="D6" s="297" t="s">
        <v>117</v>
      </c>
      <c r="E6" s="315">
        <v>7261970</v>
      </c>
      <c r="F6" s="315">
        <v>7450567</v>
      </c>
      <c r="G6" s="315">
        <v>6674263</v>
      </c>
      <c r="H6" s="289"/>
      <c r="I6" s="289"/>
      <c r="J6" s="289"/>
      <c r="K6" s="289"/>
      <c r="L6" s="289"/>
      <c r="M6" s="289"/>
      <c r="N6" s="289"/>
      <c r="O6" s="289"/>
      <c r="P6" s="289"/>
      <c r="Q6" s="407"/>
      <c r="R6" s="289"/>
      <c r="S6" s="289"/>
    </row>
    <row r="7" spans="1:19" ht="14.25" customHeight="1">
      <c r="A7" s="510"/>
      <c r="B7" s="295" t="s">
        <v>139</v>
      </c>
      <c r="C7" s="296" t="s">
        <v>140</v>
      </c>
      <c r="D7" s="297" t="s">
        <v>288</v>
      </c>
      <c r="E7" s="317">
        <v>2.5462962962962965E-3</v>
      </c>
      <c r="F7" s="317">
        <v>2.7083333333333334E-3</v>
      </c>
      <c r="G7" s="317">
        <v>2.7546296296296294E-3</v>
      </c>
      <c r="H7" s="289"/>
      <c r="I7" s="289"/>
      <c r="J7" s="289"/>
      <c r="K7" s="289"/>
      <c r="L7" s="289"/>
      <c r="M7" s="289"/>
      <c r="N7" s="289"/>
      <c r="O7" s="289"/>
      <c r="P7" s="289"/>
      <c r="Q7" s="407"/>
      <c r="R7" s="289"/>
      <c r="S7" s="289"/>
    </row>
    <row r="8" spans="1:19" ht="14.25" customHeight="1">
      <c r="A8" s="510"/>
      <c r="B8" s="295" t="s">
        <v>289</v>
      </c>
      <c r="C8" s="296" t="s">
        <v>142</v>
      </c>
      <c r="D8" s="297" t="s">
        <v>143</v>
      </c>
      <c r="E8" s="318">
        <v>6.2E-4</v>
      </c>
      <c r="F8" s="318">
        <v>1.152E-3</v>
      </c>
      <c r="G8" s="318">
        <v>6.6429999999999996E-3</v>
      </c>
      <c r="H8" s="289"/>
      <c r="I8" s="289"/>
      <c r="J8" s="289"/>
      <c r="K8" s="289"/>
      <c r="L8" s="289"/>
      <c r="M8" s="308"/>
      <c r="N8" s="289"/>
      <c r="O8" s="289"/>
      <c r="P8" s="289"/>
      <c r="Q8" s="407"/>
      <c r="R8" s="289"/>
      <c r="S8" s="289"/>
    </row>
    <row r="9" spans="1:19" ht="14.25" customHeight="1">
      <c r="A9" s="510"/>
      <c r="B9" s="295" t="s">
        <v>291</v>
      </c>
      <c r="C9" s="296" t="s">
        <v>146</v>
      </c>
      <c r="D9" s="297" t="s">
        <v>147</v>
      </c>
      <c r="E9" s="317">
        <v>0</v>
      </c>
      <c r="F9" s="397">
        <v>0</v>
      </c>
      <c r="G9" s="397">
        <v>0</v>
      </c>
      <c r="H9" s="289"/>
      <c r="I9" s="289"/>
      <c r="J9" s="289"/>
      <c r="K9" s="289"/>
      <c r="L9" s="289"/>
      <c r="M9" s="289"/>
      <c r="N9" s="289"/>
      <c r="O9" s="289"/>
      <c r="P9" s="289"/>
      <c r="Q9" s="407"/>
      <c r="R9" s="289"/>
      <c r="S9" s="289"/>
    </row>
    <row r="10" spans="1:19" ht="17.25" customHeight="1">
      <c r="A10" s="510"/>
      <c r="B10" s="295" t="s">
        <v>292</v>
      </c>
      <c r="C10" s="296" t="s">
        <v>149</v>
      </c>
      <c r="D10" s="297" t="s">
        <v>150</v>
      </c>
      <c r="E10" s="316" t="s">
        <v>302</v>
      </c>
      <c r="F10" s="411" t="s">
        <v>390</v>
      </c>
      <c r="G10" s="411" t="s">
        <v>391</v>
      </c>
      <c r="H10" s="310"/>
      <c r="I10" s="310"/>
      <c r="J10" s="310"/>
      <c r="K10" s="310"/>
      <c r="L10" s="310"/>
      <c r="M10" s="24"/>
      <c r="N10" s="24"/>
      <c r="O10" s="24"/>
      <c r="P10" s="24"/>
      <c r="Q10" s="74"/>
      <c r="R10" s="24"/>
      <c r="S10" s="6"/>
    </row>
    <row r="11" spans="1:19" ht="18" customHeight="1">
      <c r="A11" s="510"/>
      <c r="B11" s="298" t="s">
        <v>303</v>
      </c>
      <c r="C11" s="296" t="s">
        <v>161</v>
      </c>
      <c r="D11" s="297" t="s">
        <v>150</v>
      </c>
      <c r="E11" s="316" t="s">
        <v>281</v>
      </c>
      <c r="F11" s="411" t="s">
        <v>392</v>
      </c>
      <c r="G11" s="411" t="s">
        <v>393</v>
      </c>
      <c r="H11" s="289"/>
      <c r="I11" s="289"/>
      <c r="J11" s="289"/>
      <c r="K11" s="289"/>
      <c r="L11" s="289"/>
      <c r="M11" s="289"/>
      <c r="N11" s="289"/>
      <c r="O11" s="289"/>
      <c r="P11" s="289"/>
      <c r="Q11" s="407"/>
      <c r="R11" s="289"/>
      <c r="S11" s="289"/>
    </row>
    <row r="12" spans="1:19" ht="132.75" customHeight="1">
      <c r="A12" s="510"/>
      <c r="B12" s="299" t="s">
        <v>186</v>
      </c>
      <c r="C12" s="329" t="s">
        <v>320</v>
      </c>
      <c r="D12" s="332" t="s">
        <v>321</v>
      </c>
      <c r="E12" s="330" t="s">
        <v>334</v>
      </c>
      <c r="F12" s="415" t="s">
        <v>394</v>
      </c>
      <c r="G12" s="440" t="s">
        <v>395</v>
      </c>
      <c r="H12" s="399"/>
      <c r="I12" s="387"/>
      <c r="J12" s="387"/>
      <c r="K12" s="387"/>
      <c r="L12" s="387"/>
      <c r="M12" s="387"/>
      <c r="N12" s="387"/>
      <c r="O12" s="387"/>
      <c r="P12" s="387"/>
      <c r="Q12" s="408"/>
      <c r="R12" s="289"/>
      <c r="S12" s="289"/>
    </row>
    <row r="13" spans="1:19" ht="18" customHeight="1">
      <c r="A13" s="510"/>
      <c r="B13" s="398" t="s">
        <v>396</v>
      </c>
      <c r="C13" s="297" t="s">
        <v>397</v>
      </c>
      <c r="D13" s="305" t="s">
        <v>117</v>
      </c>
      <c r="E13" s="390"/>
      <c r="F13" s="414">
        <v>238370</v>
      </c>
      <c r="G13" s="414">
        <v>283374</v>
      </c>
      <c r="H13" s="312"/>
      <c r="I13" s="289"/>
      <c r="J13" s="289"/>
      <c r="K13" s="289"/>
      <c r="L13" s="289"/>
      <c r="M13" s="289"/>
      <c r="N13" s="289"/>
      <c r="O13" s="289"/>
      <c r="P13" s="289"/>
      <c r="Q13" s="407"/>
      <c r="R13" s="289"/>
      <c r="S13" s="289"/>
    </row>
    <row r="14" spans="1:19" ht="18" customHeight="1">
      <c r="A14" s="510"/>
      <c r="B14" s="398" t="s">
        <v>398</v>
      </c>
      <c r="C14" s="297" t="s">
        <v>399</v>
      </c>
      <c r="D14" s="305"/>
      <c r="E14" s="390"/>
      <c r="F14" s="414">
        <v>168085</v>
      </c>
      <c r="G14" s="414">
        <v>176553</v>
      </c>
      <c r="H14" s="312"/>
      <c r="I14" s="289"/>
      <c r="J14" s="289"/>
      <c r="K14" s="289"/>
      <c r="L14" s="289"/>
      <c r="M14" s="289"/>
      <c r="N14" s="289"/>
      <c r="O14" s="289"/>
      <c r="P14" s="289"/>
      <c r="Q14" s="407"/>
      <c r="R14" s="289"/>
      <c r="S14" s="289"/>
    </row>
    <row r="15" spans="1:19" ht="18" customHeight="1">
      <c r="A15" s="510"/>
      <c r="B15" s="398" t="s">
        <v>400</v>
      </c>
      <c r="C15" s="297" t="s">
        <v>116</v>
      </c>
      <c r="D15" s="305" t="s">
        <v>117</v>
      </c>
      <c r="E15" s="390"/>
      <c r="F15" s="414">
        <v>123854</v>
      </c>
      <c r="G15" s="414">
        <v>104919</v>
      </c>
      <c r="H15" s="312"/>
      <c r="I15" s="289"/>
      <c r="J15" s="289"/>
      <c r="K15" s="289"/>
      <c r="L15" s="289"/>
      <c r="M15" s="289"/>
      <c r="N15" s="289"/>
      <c r="O15" s="289"/>
      <c r="P15" s="289"/>
      <c r="Q15" s="407"/>
      <c r="R15" s="289"/>
      <c r="S15" s="289"/>
    </row>
    <row r="16" spans="1:19" ht="18" customHeight="1">
      <c r="A16" s="510"/>
      <c r="B16" s="398" t="s">
        <v>401</v>
      </c>
      <c r="C16" s="297" t="s">
        <v>402</v>
      </c>
      <c r="D16" s="296" t="s">
        <v>403</v>
      </c>
      <c r="E16" s="390"/>
      <c r="F16" s="414">
        <v>4902</v>
      </c>
      <c r="G16" s="414">
        <v>10081</v>
      </c>
      <c r="H16" s="451"/>
      <c r="I16" s="385"/>
      <c r="J16" s="385"/>
      <c r="K16" s="385"/>
      <c r="L16" s="385"/>
      <c r="M16" s="385"/>
      <c r="N16" s="385"/>
      <c r="O16" s="385"/>
      <c r="P16" s="385"/>
      <c r="Q16" s="409"/>
      <c r="R16" s="289"/>
      <c r="S16" s="289"/>
    </row>
    <row r="17" spans="1:19" ht="16.5" customHeight="1">
      <c r="A17" s="510"/>
      <c r="B17" s="331" t="s">
        <v>404</v>
      </c>
      <c r="C17" s="297" t="s">
        <v>405</v>
      </c>
      <c r="D17" s="305" t="s">
        <v>117</v>
      </c>
      <c r="E17" s="390"/>
      <c r="F17" s="405">
        <v>343</v>
      </c>
      <c r="G17" s="405">
        <v>75</v>
      </c>
      <c r="H17" s="385"/>
      <c r="I17" s="385"/>
      <c r="J17" s="385"/>
      <c r="K17" s="385"/>
      <c r="L17" s="385"/>
      <c r="M17" s="385"/>
      <c r="N17" s="385"/>
      <c r="O17" s="385"/>
      <c r="P17" s="385"/>
      <c r="Q17" s="409"/>
      <c r="R17" s="289"/>
      <c r="S17" s="289"/>
    </row>
    <row r="18" spans="1:19" ht="16.5" customHeight="1">
      <c r="A18" s="510"/>
      <c r="B18" s="331" t="s">
        <v>406</v>
      </c>
      <c r="C18" s="297" t="s">
        <v>407</v>
      </c>
      <c r="D18" s="305"/>
      <c r="E18" s="390"/>
      <c r="F18" s="419">
        <v>140</v>
      </c>
      <c r="G18" s="405">
        <v>29</v>
      </c>
      <c r="H18" s="385"/>
      <c r="I18" s="385"/>
      <c r="J18" s="385"/>
      <c r="K18" s="385"/>
      <c r="L18" s="385"/>
      <c r="M18" s="385"/>
      <c r="N18" s="385"/>
      <c r="O18" s="385"/>
      <c r="P18" s="385"/>
      <c r="Q18" s="409"/>
      <c r="R18" s="289"/>
      <c r="S18" s="289"/>
    </row>
    <row r="19" spans="1:19" ht="16.5" customHeight="1">
      <c r="A19" s="510"/>
      <c r="B19" s="331" t="s">
        <v>408</v>
      </c>
      <c r="C19" s="297" t="s">
        <v>116</v>
      </c>
      <c r="D19" s="305" t="s">
        <v>117</v>
      </c>
      <c r="E19" s="390"/>
      <c r="F19" s="405">
        <v>27</v>
      </c>
      <c r="G19" s="405">
        <v>13</v>
      </c>
      <c r="H19" s="289"/>
      <c r="I19" s="289"/>
      <c r="J19" s="289"/>
      <c r="K19" s="289"/>
      <c r="L19" s="289"/>
      <c r="M19" s="289"/>
      <c r="N19" s="289"/>
      <c r="O19" s="289"/>
      <c r="P19" s="289"/>
      <c r="Q19" s="407"/>
      <c r="R19" s="289"/>
      <c r="S19" s="289"/>
    </row>
    <row r="20" spans="1:19" ht="16.5" customHeight="1">
      <c r="A20" s="511"/>
      <c r="B20" s="331" t="s">
        <v>409</v>
      </c>
      <c r="C20" s="297" t="s">
        <v>410</v>
      </c>
      <c r="D20" s="296" t="s">
        <v>403</v>
      </c>
      <c r="E20" s="416"/>
      <c r="F20" s="405">
        <v>362</v>
      </c>
      <c r="G20" s="413">
        <v>294</v>
      </c>
      <c r="H20" s="289"/>
      <c r="I20" s="289"/>
      <c r="J20" s="289"/>
      <c r="K20" s="289"/>
      <c r="L20" s="289"/>
      <c r="M20" s="289"/>
      <c r="N20" s="289"/>
      <c r="O20" s="289"/>
      <c r="P20" s="289"/>
      <c r="Q20" s="407"/>
      <c r="R20" s="289"/>
      <c r="S20" s="289"/>
    </row>
    <row r="21" spans="1:19" ht="14.25" customHeight="1">
      <c r="A21" s="507" t="s">
        <v>193</v>
      </c>
      <c r="B21" s="300" t="s">
        <v>1</v>
      </c>
      <c r="C21" s="301" t="s">
        <v>194</v>
      </c>
      <c r="D21" s="302" t="s">
        <v>195</v>
      </c>
      <c r="E21" s="333">
        <v>2886971</v>
      </c>
      <c r="F21" s="319">
        <v>3089581</v>
      </c>
      <c r="G21" s="405">
        <v>3279224</v>
      </c>
      <c r="H21" s="443"/>
      <c r="I21" s="289"/>
      <c r="J21" s="289"/>
      <c r="K21" s="289"/>
      <c r="L21" s="289"/>
      <c r="M21" s="289"/>
      <c r="N21" s="289"/>
      <c r="O21" s="289"/>
      <c r="P21" s="289"/>
      <c r="Q21" s="407"/>
      <c r="R21" s="289"/>
      <c r="S21" s="289"/>
    </row>
    <row r="22" spans="1:19" ht="14.25" customHeight="1">
      <c r="A22" s="507"/>
      <c r="B22" s="295" t="s">
        <v>2</v>
      </c>
      <c r="C22" s="296" t="s">
        <v>196</v>
      </c>
      <c r="D22" s="302" t="s">
        <v>197</v>
      </c>
      <c r="E22" s="319">
        <v>1125795</v>
      </c>
      <c r="F22" s="319">
        <v>1095979</v>
      </c>
      <c r="G22" s="405">
        <v>1349389</v>
      </c>
      <c r="H22" s="443"/>
      <c r="I22" s="289"/>
      <c r="J22" s="289"/>
      <c r="K22" s="289"/>
      <c r="L22" s="289"/>
      <c r="M22" s="289"/>
      <c r="N22" s="289"/>
      <c r="O22" s="289"/>
      <c r="P22" s="289"/>
      <c r="Q22" s="407"/>
      <c r="R22" s="289"/>
      <c r="S22" s="289"/>
    </row>
    <row r="23" spans="1:19" ht="14.25" customHeight="1">
      <c r="A23" s="507"/>
      <c r="B23" s="295" t="s">
        <v>240</v>
      </c>
      <c r="C23" s="296" t="s">
        <v>241</v>
      </c>
      <c r="D23" s="302" t="s">
        <v>242</v>
      </c>
      <c r="E23" s="319">
        <v>1968414</v>
      </c>
      <c r="F23" s="319">
        <v>2036711</v>
      </c>
      <c r="G23" s="405">
        <v>1962428</v>
      </c>
      <c r="H23" s="443"/>
      <c r="I23" s="289"/>
      <c r="J23" s="289"/>
      <c r="K23" s="289"/>
      <c r="L23" s="289"/>
      <c r="M23" s="289"/>
      <c r="N23" s="289"/>
      <c r="O23" s="289"/>
      <c r="P23" s="289"/>
      <c r="Q23" s="407"/>
      <c r="R23" s="289"/>
      <c r="S23" s="289"/>
    </row>
    <row r="24" spans="1:19" ht="14.25" customHeight="1">
      <c r="A24" s="507"/>
      <c r="B24" s="295" t="s">
        <v>237</v>
      </c>
      <c r="C24" s="296" t="s">
        <v>238</v>
      </c>
      <c r="D24" s="302" t="s">
        <v>239</v>
      </c>
      <c r="E24" s="319">
        <v>2011158</v>
      </c>
      <c r="F24" s="319">
        <v>2087936</v>
      </c>
      <c r="G24" s="405">
        <v>2007144</v>
      </c>
      <c r="H24" s="443"/>
      <c r="I24" s="289"/>
      <c r="J24" s="289"/>
      <c r="K24" s="289"/>
      <c r="L24" s="289"/>
      <c r="M24" s="289"/>
      <c r="N24" s="289"/>
      <c r="O24" s="289"/>
      <c r="P24" s="289"/>
      <c r="Q24" s="407"/>
      <c r="R24" s="289"/>
      <c r="S24" s="289"/>
    </row>
    <row r="25" spans="1:19" ht="14.25" customHeight="1">
      <c r="A25" s="507"/>
      <c r="B25" s="295" t="s">
        <v>234</v>
      </c>
      <c r="C25" s="296" t="s">
        <v>235</v>
      </c>
      <c r="D25" s="302" t="s">
        <v>236</v>
      </c>
      <c r="E25" s="319">
        <v>2584653</v>
      </c>
      <c r="F25" s="442">
        <v>2776326</v>
      </c>
      <c r="G25" s="405">
        <v>2584106</v>
      </c>
      <c r="H25" s="443"/>
      <c r="I25" s="289"/>
      <c r="J25" s="289"/>
      <c r="K25" s="289"/>
      <c r="L25" s="289"/>
      <c r="M25" s="289"/>
      <c r="N25" s="289"/>
      <c r="O25" s="289"/>
      <c r="P25" s="289"/>
      <c r="Q25" s="407"/>
      <c r="R25" s="289"/>
      <c r="S25" s="289"/>
    </row>
    <row r="26" spans="1:19" ht="14.25" customHeight="1">
      <c r="A26" s="507"/>
      <c r="B26" s="295" t="s">
        <v>337</v>
      </c>
      <c r="C26" s="296" t="s">
        <v>338</v>
      </c>
      <c r="D26" s="303" t="s">
        <v>339</v>
      </c>
      <c r="E26" s="320">
        <v>724</v>
      </c>
      <c r="F26" s="412">
        <v>720</v>
      </c>
      <c r="G26" s="444">
        <v>724</v>
      </c>
      <c r="H26" s="24"/>
      <c r="I26" s="24"/>
      <c r="J26" s="24"/>
      <c r="K26" s="24"/>
      <c r="L26" s="24"/>
      <c r="M26" s="24"/>
      <c r="N26" s="24"/>
      <c r="O26" s="24"/>
      <c r="P26" s="24"/>
      <c r="Q26" s="74"/>
      <c r="R26" s="24"/>
      <c r="S26" s="289"/>
    </row>
    <row r="27" spans="1:19" ht="14.25" customHeight="1">
      <c r="A27" s="507"/>
      <c r="B27" s="295" t="s">
        <v>340</v>
      </c>
      <c r="C27" s="296" t="s">
        <v>341</v>
      </c>
      <c r="D27" s="303" t="s">
        <v>342</v>
      </c>
      <c r="E27" s="321">
        <v>632</v>
      </c>
      <c r="F27" s="412">
        <v>628</v>
      </c>
      <c r="G27" s="412">
        <v>629</v>
      </c>
      <c r="H27" s="24"/>
      <c r="I27" s="24"/>
      <c r="J27" s="24"/>
      <c r="K27" s="24"/>
      <c r="L27" s="24"/>
      <c r="M27" s="24"/>
      <c r="N27" s="24"/>
      <c r="O27" s="24"/>
      <c r="P27" s="24"/>
      <c r="Q27" s="74"/>
      <c r="R27" s="24"/>
      <c r="S27" s="289"/>
    </row>
    <row r="28" spans="1:19" ht="14.25" customHeight="1">
      <c r="A28" s="507"/>
      <c r="B28" s="295" t="s">
        <v>201</v>
      </c>
      <c r="C28" s="296" t="s">
        <v>202</v>
      </c>
      <c r="D28" s="302" t="s">
        <v>343</v>
      </c>
      <c r="E28" s="322">
        <v>95</v>
      </c>
      <c r="F28" s="412">
        <v>95</v>
      </c>
      <c r="G28" s="412">
        <v>96</v>
      </c>
      <c r="H28" s="289"/>
      <c r="I28" s="289"/>
      <c r="J28" s="289"/>
      <c r="K28" s="289"/>
      <c r="L28" s="289"/>
      <c r="M28" s="289"/>
      <c r="N28" s="289"/>
      <c r="O28" s="289"/>
      <c r="P28" s="289"/>
      <c r="Q28" s="407"/>
      <c r="R28" s="289"/>
      <c r="S28" s="289"/>
    </row>
    <row r="29" spans="1:19" ht="14.25" customHeight="1">
      <c r="A29" s="507"/>
      <c r="B29" s="295" t="s">
        <v>411</v>
      </c>
      <c r="C29" s="296" t="s">
        <v>412</v>
      </c>
      <c r="D29" s="302" t="s">
        <v>413</v>
      </c>
      <c r="E29" s="322">
        <v>11</v>
      </c>
      <c r="F29" s="412">
        <v>11</v>
      </c>
      <c r="G29" s="412">
        <v>11</v>
      </c>
      <c r="H29" s="289"/>
      <c r="I29" s="289"/>
      <c r="J29" s="289"/>
      <c r="K29" s="289"/>
      <c r="L29" s="289"/>
      <c r="M29" s="289"/>
      <c r="N29" s="289"/>
      <c r="O29" s="289"/>
      <c r="P29" s="289"/>
      <c r="Q29" s="407"/>
      <c r="R29" s="289"/>
      <c r="S29" s="289"/>
    </row>
    <row r="30" spans="1:19" ht="14.25" customHeight="1">
      <c r="A30" s="507"/>
      <c r="B30" s="295" t="s">
        <v>414</v>
      </c>
      <c r="C30" s="296" t="s">
        <v>415</v>
      </c>
      <c r="D30" s="302" t="s">
        <v>416</v>
      </c>
      <c r="E30" s="322">
        <v>22</v>
      </c>
      <c r="F30" s="412">
        <v>22</v>
      </c>
      <c r="G30" s="412">
        <v>22</v>
      </c>
      <c r="H30" s="289"/>
      <c r="I30" s="289"/>
      <c r="J30" s="289"/>
      <c r="K30" s="289"/>
      <c r="L30" s="289"/>
      <c r="M30" s="289"/>
      <c r="N30" s="289"/>
      <c r="O30" s="289"/>
      <c r="P30" s="289"/>
      <c r="Q30" s="407"/>
      <c r="R30" s="289"/>
      <c r="S30" s="289"/>
    </row>
    <row r="31" spans="1:19" ht="14.25" customHeight="1">
      <c r="A31" s="507"/>
      <c r="B31" s="295" t="s">
        <v>417</v>
      </c>
      <c r="C31" s="296" t="s">
        <v>418</v>
      </c>
      <c r="D31" s="302" t="s">
        <v>419</v>
      </c>
      <c r="E31" s="322">
        <v>36</v>
      </c>
      <c r="F31" s="412">
        <v>36</v>
      </c>
      <c r="G31" s="412">
        <v>36</v>
      </c>
      <c r="H31" s="289"/>
      <c r="I31" s="289"/>
      <c r="J31" s="289"/>
      <c r="K31" s="289"/>
      <c r="L31" s="289"/>
      <c r="M31" s="289"/>
      <c r="N31" s="289"/>
      <c r="O31" s="289"/>
      <c r="P31" s="289"/>
      <c r="Q31" s="407"/>
      <c r="R31" s="289"/>
      <c r="S31" s="289"/>
    </row>
    <row r="32" spans="1:19" ht="14.25" customHeight="1">
      <c r="A32" s="507"/>
      <c r="B32" s="295" t="s">
        <v>420</v>
      </c>
      <c r="C32" s="296" t="s">
        <v>421</v>
      </c>
      <c r="D32" s="302" t="s">
        <v>422</v>
      </c>
      <c r="E32" s="322">
        <v>26</v>
      </c>
      <c r="F32" s="412">
        <v>26</v>
      </c>
      <c r="G32" s="412">
        <v>27</v>
      </c>
      <c r="H32" s="289"/>
      <c r="I32" s="289"/>
      <c r="J32" s="289"/>
      <c r="K32" s="289"/>
      <c r="L32" s="289"/>
      <c r="M32" s="289"/>
      <c r="N32" s="289"/>
      <c r="O32" s="289"/>
      <c r="P32" s="289"/>
      <c r="Q32" s="407"/>
      <c r="R32" s="289"/>
      <c r="S32" s="289"/>
    </row>
    <row r="33" spans="1:19" ht="138" customHeight="1">
      <c r="A33" s="507"/>
      <c r="B33" s="299" t="s">
        <v>423</v>
      </c>
      <c r="C33" s="433" t="s">
        <v>346</v>
      </c>
      <c r="D33" s="433" t="s">
        <v>213</v>
      </c>
      <c r="E33" s="323" t="s">
        <v>359</v>
      </c>
      <c r="F33" s="323" t="s">
        <v>424</v>
      </c>
      <c r="G33" s="323" t="s">
        <v>425</v>
      </c>
      <c r="H33" s="289"/>
      <c r="I33" s="289"/>
      <c r="J33" s="289"/>
      <c r="K33" s="289"/>
      <c r="L33" s="289"/>
      <c r="M33" s="289"/>
      <c r="N33" s="289"/>
      <c r="O33" s="289"/>
      <c r="P33" s="289"/>
      <c r="Q33" s="407"/>
      <c r="R33" s="289"/>
      <c r="S33" s="289"/>
    </row>
    <row r="34" spans="1:19" ht="138" customHeight="1">
      <c r="A34" s="507"/>
      <c r="B34" s="432" t="s">
        <v>426</v>
      </c>
      <c r="C34" s="433" t="s">
        <v>427</v>
      </c>
      <c r="D34" s="438" t="s">
        <v>428</v>
      </c>
      <c r="E34" s="439" t="s">
        <v>429</v>
      </c>
      <c r="F34" s="323" t="s">
        <v>430</v>
      </c>
      <c r="G34" s="323" t="s">
        <v>431</v>
      </c>
      <c r="H34" s="289"/>
      <c r="I34" s="289"/>
      <c r="J34" s="289"/>
      <c r="K34" s="289"/>
      <c r="L34" s="289"/>
      <c r="M34" s="289"/>
      <c r="N34" s="289"/>
      <c r="O34" s="289"/>
      <c r="P34" s="289"/>
      <c r="Q34" s="407"/>
      <c r="R34" s="289"/>
      <c r="S34" s="289"/>
    </row>
    <row r="35" spans="1:19" ht="14.25" customHeight="1">
      <c r="A35" s="507"/>
      <c r="B35" s="295" t="s">
        <v>228</v>
      </c>
      <c r="C35" s="302" t="s">
        <v>229</v>
      </c>
      <c r="D35" s="434" t="s">
        <v>367</v>
      </c>
      <c r="E35" s="320">
        <v>18</v>
      </c>
      <c r="F35" s="320">
        <v>19</v>
      </c>
      <c r="G35" s="320">
        <v>20</v>
      </c>
      <c r="H35" s="289"/>
      <c r="I35" s="289"/>
      <c r="J35" s="289"/>
      <c r="K35" s="289"/>
      <c r="L35" s="289"/>
      <c r="M35" s="508"/>
      <c r="N35" s="508"/>
      <c r="O35" s="508"/>
      <c r="P35" s="289"/>
      <c r="Q35" s="407"/>
      <c r="R35" s="289"/>
      <c r="S35" s="289"/>
    </row>
    <row r="36" spans="1:19" ht="14.25" customHeight="1">
      <c r="A36" s="507"/>
      <c r="B36" s="295" t="s">
        <v>244</v>
      </c>
      <c r="C36" s="304" t="s">
        <v>245</v>
      </c>
      <c r="D36" s="297" t="s">
        <v>246</v>
      </c>
      <c r="E36" s="324" t="s">
        <v>374</v>
      </c>
      <c r="F36" s="324">
        <v>0.124</v>
      </c>
      <c r="G36" s="441" t="s">
        <v>432</v>
      </c>
      <c r="H36" s="289"/>
      <c r="I36" s="289"/>
      <c r="J36" s="289"/>
      <c r="K36" s="289"/>
      <c r="L36" s="289"/>
      <c r="M36" s="289"/>
      <c r="N36" s="313"/>
      <c r="O36" s="313"/>
      <c r="P36" s="289"/>
      <c r="Q36" s="407"/>
      <c r="R36" s="289"/>
      <c r="S36" s="289"/>
    </row>
    <row r="37" spans="1:19" ht="14.25" customHeight="1">
      <c r="A37" s="507"/>
      <c r="B37" s="295" t="s">
        <v>258</v>
      </c>
      <c r="C37" s="305" t="s">
        <v>259</v>
      </c>
      <c r="D37" s="297" t="s">
        <v>260</v>
      </c>
      <c r="E37" s="325">
        <v>0.59670000000000001</v>
      </c>
      <c r="F37" s="325">
        <v>0.61470000000000002</v>
      </c>
      <c r="G37" s="325">
        <v>0.61929999999999996</v>
      </c>
      <c r="H37" s="289"/>
      <c r="I37" s="289"/>
      <c r="J37" s="289"/>
      <c r="K37" s="289"/>
      <c r="L37" s="289"/>
      <c r="M37" s="289"/>
      <c r="N37" s="313"/>
      <c r="O37" s="313"/>
      <c r="P37" s="289"/>
      <c r="Q37" s="407"/>
      <c r="R37" s="289"/>
      <c r="S37" s="289"/>
    </row>
    <row r="38" spans="1:19" ht="14.4">
      <c r="A38" s="507"/>
      <c r="B38" s="295" t="s">
        <v>261</v>
      </c>
      <c r="C38" s="305" t="s">
        <v>262</v>
      </c>
      <c r="D38" s="297" t="s">
        <v>263</v>
      </c>
      <c r="E38" s="316">
        <v>2.39</v>
      </c>
      <c r="F38" s="316">
        <v>2.34</v>
      </c>
      <c r="G38" s="316">
        <v>2.33</v>
      </c>
      <c r="H38" s="289"/>
      <c r="I38" s="289"/>
      <c r="J38" s="289"/>
      <c r="K38" s="289"/>
      <c r="L38" s="289"/>
      <c r="M38" s="289"/>
      <c r="N38" s="313"/>
      <c r="O38" s="313"/>
      <c r="P38" s="289"/>
      <c r="Q38" s="407"/>
      <c r="R38" s="289"/>
      <c r="S38" s="289"/>
    </row>
    <row r="39" spans="1:19" ht="14.25" customHeight="1">
      <c r="A39" s="507"/>
      <c r="B39" s="295" t="s">
        <v>264</v>
      </c>
      <c r="C39" s="305" t="s">
        <v>265</v>
      </c>
      <c r="D39" s="297" t="s">
        <v>266</v>
      </c>
      <c r="E39" s="325">
        <v>0.66020000000000001</v>
      </c>
      <c r="F39" s="325">
        <v>0.67969999999999997</v>
      </c>
      <c r="G39" s="325">
        <v>0.67800000000000005</v>
      </c>
      <c r="H39" s="289"/>
      <c r="I39" s="289"/>
      <c r="J39" s="289"/>
      <c r="K39" s="289"/>
      <c r="L39" s="289"/>
      <c r="M39" s="289"/>
      <c r="N39" s="313"/>
      <c r="O39" s="313"/>
      <c r="P39" s="289"/>
      <c r="Q39" s="407"/>
      <c r="R39" s="289"/>
      <c r="S39" s="289"/>
    </row>
    <row r="40" spans="1:19" ht="14.4">
      <c r="A40" s="507"/>
      <c r="B40" s="295" t="s">
        <v>376</v>
      </c>
      <c r="C40" s="301" t="s">
        <v>377</v>
      </c>
      <c r="D40" s="306" t="s">
        <v>378</v>
      </c>
      <c r="E40" s="324" t="s">
        <v>384</v>
      </c>
      <c r="F40" s="324" t="s">
        <v>383</v>
      </c>
      <c r="G40" s="324" t="s">
        <v>383</v>
      </c>
      <c r="H40" s="289"/>
      <c r="I40" s="289"/>
      <c r="J40" s="289"/>
      <c r="K40" s="289"/>
      <c r="L40" s="289"/>
      <c r="M40" s="289"/>
      <c r="N40" s="313"/>
      <c r="O40" s="313"/>
      <c r="P40" s="289"/>
      <c r="Q40" s="407"/>
      <c r="R40" s="289"/>
      <c r="S40" s="289"/>
    </row>
    <row r="41" spans="1:19" ht="99.75" customHeight="1">
      <c r="A41" s="400" t="s">
        <v>267</v>
      </c>
      <c r="B41" s="401" t="s">
        <v>258</v>
      </c>
      <c r="C41" s="402" t="s">
        <v>269</v>
      </c>
      <c r="D41" s="406" t="s">
        <v>270</v>
      </c>
      <c r="E41" s="446">
        <v>0.67556312701116783</v>
      </c>
      <c r="F41" s="445">
        <v>0.68340000000000001</v>
      </c>
      <c r="G41" s="445">
        <v>0.67300000000000004</v>
      </c>
      <c r="H41" s="447"/>
      <c r="I41" s="387"/>
      <c r="J41" s="387"/>
      <c r="K41" s="387"/>
      <c r="L41" s="387"/>
      <c r="M41" s="387"/>
      <c r="N41" s="403"/>
      <c r="O41" s="404"/>
      <c r="P41" s="387"/>
      <c r="Q41" s="408"/>
      <c r="R41" s="289"/>
      <c r="S41" s="289"/>
    </row>
    <row r="42" spans="1:19" ht="34.200000000000003">
      <c r="A42" s="512" t="s">
        <v>433</v>
      </c>
      <c r="B42" s="417" t="s">
        <v>434</v>
      </c>
      <c r="C42" s="418" t="s">
        <v>435</v>
      </c>
      <c r="D42" s="423" t="s">
        <v>436</v>
      </c>
      <c r="E42" s="421" t="s">
        <v>4</v>
      </c>
      <c r="F42" s="448">
        <v>4525</v>
      </c>
      <c r="G42" s="448">
        <v>4573</v>
      </c>
      <c r="H42" s="387"/>
      <c r="I42" s="387"/>
      <c r="J42" s="387"/>
      <c r="K42" s="387"/>
      <c r="L42" s="387"/>
      <c r="M42" s="387"/>
      <c r="N42" s="403"/>
      <c r="O42" s="403"/>
      <c r="P42" s="387"/>
      <c r="Q42" s="408"/>
      <c r="R42" s="387"/>
      <c r="S42" s="387"/>
    </row>
    <row r="43" spans="1:19" ht="14.4">
      <c r="A43" s="512"/>
      <c r="B43" s="417" t="s">
        <v>437</v>
      </c>
      <c r="C43" s="420" t="s">
        <v>438</v>
      </c>
      <c r="D43" s="422" t="s">
        <v>439</v>
      </c>
      <c r="E43" s="421" t="s">
        <v>4</v>
      </c>
      <c r="F43" s="424">
        <v>150</v>
      </c>
      <c r="G43" s="424">
        <v>245</v>
      </c>
      <c r="H43" s="289"/>
      <c r="I43" s="289"/>
      <c r="J43" s="289"/>
      <c r="K43" s="289"/>
      <c r="L43" s="289"/>
      <c r="M43" s="289"/>
      <c r="N43" s="313"/>
      <c r="O43" s="313"/>
      <c r="P43" s="289"/>
      <c r="Q43" s="289"/>
      <c r="R43" s="289"/>
      <c r="S43" s="289"/>
    </row>
    <row r="44" spans="1:19" ht="13.2">
      <c r="D44" s="38"/>
      <c r="F44" s="127"/>
    </row>
    <row r="45" spans="1:19" ht="15">
      <c r="E45" s="35"/>
      <c r="F45" s="127"/>
    </row>
    <row r="46" spans="1:19" ht="15">
      <c r="E46" s="35"/>
      <c r="F46" s="127"/>
    </row>
    <row r="47" spans="1:19" ht="15">
      <c r="E47" s="35"/>
      <c r="F47" s="128"/>
      <c r="G47" s="126"/>
    </row>
    <row r="48" spans="1:19" ht="13.8">
      <c r="B48" s="176"/>
      <c r="C48" s="171"/>
      <c r="D48" s="171"/>
    </row>
    <row r="49" spans="5:7" ht="13.2">
      <c r="E49" s="473"/>
      <c r="F49" s="473"/>
      <c r="G49" s="473"/>
    </row>
    <row r="50" spans="5:7" ht="13.2"/>
    <row r="51" spans="5:7" ht="13.2"/>
    <row r="52" spans="5:7" ht="13.2">
      <c r="E52" s="126"/>
      <c r="F52" s="126"/>
      <c r="G52" s="126"/>
    </row>
    <row r="53" spans="5:7" ht="13.2"/>
    <row r="54" spans="5:7" ht="13.2">
      <c r="E54" s="126"/>
      <c r="F54" s="474"/>
      <c r="G54" s="474"/>
    </row>
    <row r="55" spans="5:7" ht="13.2">
      <c r="F55" s="127"/>
    </row>
    <row r="56" spans="5:7" ht="13.2">
      <c r="F56" s="127"/>
    </row>
    <row r="57" spans="5:7" ht="13.2">
      <c r="F57" s="127"/>
    </row>
    <row r="58" spans="5:7" ht="13.2">
      <c r="E58" s="126"/>
      <c r="F58" s="128"/>
      <c r="G58" s="126"/>
    </row>
    <row r="59" spans="5:7" ht="13.2"/>
    <row r="60" spans="5:7" ht="13.2"/>
    <row r="61" spans="5:7" ht="13.2"/>
    <row r="62" spans="5:7" ht="13.2"/>
    <row r="63" spans="5:7" ht="13.2"/>
    <row r="64" spans="5:7"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row r="1001" ht="13.2"/>
    <row r="1002" ht="13.2"/>
    <row r="1003" ht="13.2"/>
    <row r="1004" ht="13.2"/>
    <row r="1005" ht="13.2"/>
    <row r="1006" ht="13.2"/>
    <row r="1007" ht="13.2"/>
    <row r="1008" ht="13.2"/>
    <row r="1009" ht="13.2"/>
    <row r="1010" ht="13.2"/>
    <row r="1011" ht="13.2"/>
    <row r="1012" ht="13.2"/>
    <row r="1013" ht="13.2"/>
    <row r="1014" ht="13.2"/>
    <row r="1015" ht="13.2"/>
    <row r="1016" ht="13.2"/>
    <row r="1017" ht="13.2"/>
    <row r="1018" ht="13.2"/>
  </sheetData>
  <autoFilter ref="A1:D41" xr:uid="{00000000-0001-0000-0000-000000000000}"/>
  <mergeCells count="6">
    <mergeCell ref="A21:A40"/>
    <mergeCell ref="M35:O35"/>
    <mergeCell ref="E49:G49"/>
    <mergeCell ref="F54:G54"/>
    <mergeCell ref="A2:A20"/>
    <mergeCell ref="A42:A43"/>
  </mergeCells>
  <hyperlinks>
    <hyperlink ref="D40" r:id="rId1" xr:uid="{3B261248-C0E9-4221-8266-146CAE4DCB91}"/>
  </hyperlinks>
  <pageMargins left="0" right="0" top="0" bottom="0" header="0" footer="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9DAD3-37F5-4DFE-84A2-2BA09373D594}">
  <dimension ref="A1:I25"/>
  <sheetViews>
    <sheetView workbookViewId="0">
      <selection activeCell="B5" sqref="B5"/>
    </sheetView>
  </sheetViews>
  <sheetFormatPr baseColWidth="10" defaultColWidth="8.88671875" defaultRowHeight="13.2"/>
  <cols>
    <col min="2" max="2" width="27.5546875" customWidth="1"/>
    <col min="3" max="3" width="32" customWidth="1"/>
    <col min="4" max="4" width="28.6640625" customWidth="1"/>
    <col min="5" max="5" width="30.44140625" customWidth="1"/>
    <col min="8" max="8" width="59.109375" customWidth="1"/>
    <col min="9" max="9" width="46.5546875" customWidth="1"/>
  </cols>
  <sheetData>
    <row r="1" spans="1:9" ht="16.2">
      <c r="A1" s="289"/>
      <c r="B1" s="291" t="s">
        <v>440</v>
      </c>
      <c r="C1" s="291" t="s">
        <v>441</v>
      </c>
      <c r="D1" s="291" t="s">
        <v>315</v>
      </c>
      <c r="E1" s="292" t="s">
        <v>318</v>
      </c>
      <c r="H1" s="426" t="s">
        <v>442</v>
      </c>
      <c r="I1" s="426" t="s">
        <v>443</v>
      </c>
    </row>
    <row r="2" spans="1:9" ht="14.4">
      <c r="A2" s="290">
        <v>46023</v>
      </c>
      <c r="B2" s="425">
        <v>0</v>
      </c>
      <c r="C2" s="425">
        <v>2</v>
      </c>
      <c r="D2" s="425">
        <v>0</v>
      </c>
      <c r="E2" s="425">
        <v>0</v>
      </c>
      <c r="H2" s="425" t="s">
        <v>444</v>
      </c>
      <c r="I2" s="425" t="s">
        <v>445</v>
      </c>
    </row>
    <row r="3" spans="1:9" ht="14.4">
      <c r="A3" s="290">
        <v>46054</v>
      </c>
      <c r="B3" s="425">
        <v>0</v>
      </c>
      <c r="C3" s="425">
        <v>2</v>
      </c>
      <c r="D3" s="425">
        <v>0</v>
      </c>
      <c r="E3" s="425"/>
      <c r="H3" s="425" t="s">
        <v>446</v>
      </c>
      <c r="I3" s="425" t="s">
        <v>447</v>
      </c>
    </row>
    <row r="4" spans="1:9" ht="14.4">
      <c r="A4" s="290">
        <v>46082</v>
      </c>
      <c r="B4" s="425" t="s">
        <v>448</v>
      </c>
      <c r="C4" s="425"/>
      <c r="D4" s="425" t="s">
        <v>449</v>
      </c>
      <c r="E4" s="425"/>
      <c r="H4" s="425" t="s">
        <v>450</v>
      </c>
      <c r="I4" s="425" t="s">
        <v>451</v>
      </c>
    </row>
    <row r="5" spans="1:9" ht="14.4">
      <c r="A5" s="290">
        <v>46113</v>
      </c>
      <c r="B5" s="425"/>
      <c r="C5" s="425"/>
      <c r="D5" s="425"/>
      <c r="E5" s="425"/>
      <c r="H5" s="425" t="s">
        <v>452</v>
      </c>
      <c r="I5" s="425" t="s">
        <v>453</v>
      </c>
    </row>
    <row r="6" spans="1:9" ht="14.4">
      <c r="A6" s="290">
        <v>46143</v>
      </c>
      <c r="B6" s="425"/>
      <c r="C6" s="425"/>
      <c r="D6" s="425"/>
      <c r="E6" s="425"/>
      <c r="H6" s="425" t="s">
        <v>454</v>
      </c>
      <c r="I6" s="425" t="s">
        <v>455</v>
      </c>
    </row>
    <row r="7" spans="1:9" ht="14.4">
      <c r="A7" s="290">
        <v>46174</v>
      </c>
      <c r="B7" s="425"/>
      <c r="C7" s="425"/>
      <c r="D7" s="425"/>
      <c r="E7" s="425"/>
      <c r="H7" s="425" t="s">
        <v>456</v>
      </c>
      <c r="I7" s="425" t="s">
        <v>457</v>
      </c>
    </row>
    <row r="8" spans="1:9" ht="14.4">
      <c r="A8" s="290">
        <v>46204</v>
      </c>
      <c r="B8" s="425"/>
      <c r="C8" s="425"/>
      <c r="D8" s="425"/>
      <c r="E8" s="425"/>
      <c r="H8" s="425" t="s">
        <v>458</v>
      </c>
      <c r="I8" s="425"/>
    </row>
    <row r="9" spans="1:9" ht="14.4">
      <c r="A9" s="290">
        <v>46235</v>
      </c>
      <c r="B9" s="425"/>
      <c r="C9" s="425"/>
      <c r="D9" s="425"/>
      <c r="E9" s="425"/>
      <c r="H9" s="425" t="s">
        <v>459</v>
      </c>
      <c r="I9" s="425"/>
    </row>
    <row r="10" spans="1:9" ht="14.4">
      <c r="A10" s="290">
        <v>46266</v>
      </c>
      <c r="B10" s="425"/>
      <c r="C10" s="425"/>
      <c r="D10" s="425"/>
      <c r="E10" s="425"/>
      <c r="H10" s="425" t="s">
        <v>460</v>
      </c>
      <c r="I10" s="425"/>
    </row>
    <row r="11" spans="1:9" ht="14.4">
      <c r="A11" s="290">
        <v>46296</v>
      </c>
      <c r="B11" s="425"/>
      <c r="C11" s="425"/>
      <c r="D11" s="425"/>
      <c r="E11" s="425"/>
      <c r="H11" s="425" t="s">
        <v>461</v>
      </c>
      <c r="I11" s="425"/>
    </row>
    <row r="12" spans="1:9" ht="14.4">
      <c r="A12" s="290">
        <v>46327</v>
      </c>
      <c r="B12" s="425"/>
      <c r="C12" s="425"/>
      <c r="D12" s="425"/>
      <c r="E12" s="425"/>
      <c r="H12" s="425" t="s">
        <v>462</v>
      </c>
      <c r="I12" s="425"/>
    </row>
    <row r="13" spans="1:9" ht="14.4">
      <c r="A13" s="290">
        <v>46357</v>
      </c>
      <c r="B13" s="425"/>
      <c r="C13" s="425"/>
      <c r="D13" s="425"/>
      <c r="E13" s="425"/>
      <c r="H13" s="425" t="s">
        <v>463</v>
      </c>
      <c r="I13" s="425"/>
    </row>
    <row r="14" spans="1:9" ht="14.4">
      <c r="A14" s="290">
        <v>46388</v>
      </c>
      <c r="B14" s="425"/>
      <c r="C14" s="425"/>
      <c r="D14" s="425"/>
      <c r="E14" s="425"/>
      <c r="H14" s="425" t="s">
        <v>464</v>
      </c>
      <c r="I14" s="425"/>
    </row>
    <row r="15" spans="1:9" ht="14.4">
      <c r="A15" s="290">
        <v>46419</v>
      </c>
      <c r="B15" s="425"/>
      <c r="C15" s="425"/>
      <c r="D15" s="425"/>
      <c r="E15" s="425"/>
    </row>
    <row r="16" spans="1:9" ht="14.4">
      <c r="A16" s="290">
        <v>46447</v>
      </c>
      <c r="B16" s="425"/>
      <c r="C16" s="425"/>
      <c r="D16" s="425"/>
      <c r="E16" s="425"/>
    </row>
    <row r="17" spans="1:9" ht="16.2">
      <c r="A17" s="290">
        <v>46478</v>
      </c>
      <c r="B17" s="425"/>
      <c r="C17" s="425"/>
      <c r="D17" s="425"/>
      <c r="E17" s="425"/>
      <c r="H17" s="426" t="s">
        <v>465</v>
      </c>
      <c r="I17" s="426" t="s">
        <v>466</v>
      </c>
    </row>
    <row r="18" spans="1:9" ht="14.4">
      <c r="A18" s="290">
        <v>46508</v>
      </c>
      <c r="B18" s="425"/>
      <c r="C18" s="425"/>
      <c r="D18" s="425"/>
      <c r="E18" s="425"/>
      <c r="H18" s="425" t="s">
        <v>467</v>
      </c>
      <c r="I18" s="450" t="s">
        <v>468</v>
      </c>
    </row>
    <row r="19" spans="1:9" ht="14.4">
      <c r="A19" s="290">
        <v>46539</v>
      </c>
      <c r="B19" s="425"/>
      <c r="C19" s="425"/>
      <c r="D19" s="425"/>
      <c r="E19" s="425"/>
      <c r="H19" s="449" t="s">
        <v>469</v>
      </c>
      <c r="I19" s="450" t="s">
        <v>470</v>
      </c>
    </row>
    <row r="20" spans="1:9" ht="14.4">
      <c r="A20" s="290">
        <v>46569</v>
      </c>
      <c r="B20" s="425"/>
      <c r="C20" s="425"/>
      <c r="D20" s="425"/>
      <c r="E20" s="425"/>
      <c r="H20" s="449" t="s">
        <v>471</v>
      </c>
      <c r="I20" s="289"/>
    </row>
    <row r="21" spans="1:9" ht="14.4">
      <c r="A21" s="290">
        <v>46600</v>
      </c>
      <c r="B21" s="425"/>
      <c r="C21" s="425"/>
      <c r="D21" s="425"/>
      <c r="E21" s="425"/>
      <c r="H21" s="449" t="s">
        <v>472</v>
      </c>
      <c r="I21" s="289"/>
    </row>
    <row r="22" spans="1:9" ht="14.4">
      <c r="A22" s="290">
        <v>46631</v>
      </c>
      <c r="B22" s="425"/>
      <c r="C22" s="425"/>
      <c r="D22" s="425"/>
      <c r="E22" s="425"/>
      <c r="H22" s="449" t="s">
        <v>473</v>
      </c>
      <c r="I22" s="289"/>
    </row>
    <row r="23" spans="1:9" ht="14.4">
      <c r="A23" s="290">
        <v>46661</v>
      </c>
      <c r="B23" s="425"/>
      <c r="C23" s="425"/>
      <c r="D23" s="425"/>
      <c r="E23" s="425"/>
      <c r="H23" s="449" t="s">
        <v>474</v>
      </c>
      <c r="I23" s="289"/>
    </row>
    <row r="24" spans="1:9" ht="14.4">
      <c r="A24" s="290">
        <v>46692</v>
      </c>
      <c r="B24" s="425"/>
      <c r="C24" s="425"/>
      <c r="D24" s="425"/>
      <c r="E24" s="425"/>
      <c r="H24" s="449" t="s">
        <v>475</v>
      </c>
      <c r="I24" s="289"/>
    </row>
    <row r="25" spans="1:9" ht="14.4">
      <c r="A25" s="290">
        <v>46722</v>
      </c>
      <c r="B25" s="425"/>
      <c r="C25" s="425"/>
      <c r="D25" s="425"/>
      <c r="E25" s="425"/>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70323-54F0-4C7B-AE7B-F10035EDA24B}">
  <dimension ref="A1:J34"/>
  <sheetViews>
    <sheetView topLeftCell="A19" workbookViewId="0">
      <selection activeCell="B31" sqref="B31"/>
    </sheetView>
  </sheetViews>
  <sheetFormatPr baseColWidth="10" defaultColWidth="8.88671875" defaultRowHeight="13.2"/>
  <cols>
    <col min="1" max="1" width="6.33203125" customWidth="1"/>
    <col min="2" max="2" width="17" customWidth="1"/>
    <col min="3" max="3" width="19.5546875" customWidth="1"/>
    <col min="4" max="4" width="14.33203125" customWidth="1"/>
    <col min="5" max="5" width="19.5546875" customWidth="1"/>
    <col min="6" max="6" width="41.88671875" customWidth="1"/>
    <col min="10" max="10" width="52.88671875" customWidth="1"/>
  </cols>
  <sheetData>
    <row r="1" spans="1:10" ht="26.25" customHeight="1">
      <c r="A1" s="427" t="s">
        <v>476</v>
      </c>
      <c r="B1" s="428" t="s">
        <v>477</v>
      </c>
      <c r="C1" s="428" t="s">
        <v>478</v>
      </c>
      <c r="D1" s="428" t="s">
        <v>0</v>
      </c>
      <c r="E1" s="428" t="s">
        <v>479</v>
      </c>
      <c r="F1" s="428" t="s">
        <v>480</v>
      </c>
      <c r="J1" s="426" t="s">
        <v>481</v>
      </c>
    </row>
    <row r="2" spans="1:10" ht="22.8">
      <c r="A2" s="429">
        <v>1</v>
      </c>
      <c r="B2" s="430" t="s">
        <v>482</v>
      </c>
      <c r="C2" s="429" t="s">
        <v>483</v>
      </c>
      <c r="D2" s="431"/>
      <c r="E2" s="429" t="s">
        <v>484</v>
      </c>
      <c r="F2" s="429"/>
      <c r="J2" s="425" t="s">
        <v>485</v>
      </c>
    </row>
    <row r="3" spans="1:10" ht="22.8">
      <c r="A3" s="429">
        <v>2</v>
      </c>
      <c r="B3" s="430" t="s">
        <v>486</v>
      </c>
      <c r="C3" s="429" t="s">
        <v>483</v>
      </c>
      <c r="D3" s="431"/>
      <c r="E3" s="429" t="s">
        <v>484</v>
      </c>
      <c r="F3" s="429"/>
      <c r="J3" s="425" t="s">
        <v>487</v>
      </c>
    </row>
    <row r="4" spans="1:10" ht="22.8">
      <c r="A4" s="429">
        <v>3</v>
      </c>
      <c r="B4" s="430" t="s">
        <v>488</v>
      </c>
      <c r="C4" s="429" t="s">
        <v>483</v>
      </c>
      <c r="D4" s="431"/>
      <c r="E4" s="429" t="s">
        <v>484</v>
      </c>
      <c r="F4" s="429"/>
      <c r="J4" s="425" t="s">
        <v>489</v>
      </c>
    </row>
    <row r="5" spans="1:10" ht="22.8">
      <c r="A5" s="429">
        <v>4</v>
      </c>
      <c r="B5" s="430" t="s">
        <v>490</v>
      </c>
      <c r="C5" s="429" t="s">
        <v>483</v>
      </c>
      <c r="D5" s="431"/>
      <c r="E5" s="429" t="s">
        <v>484</v>
      </c>
      <c r="F5" s="429"/>
      <c r="J5" s="425" t="s">
        <v>491</v>
      </c>
    </row>
    <row r="6" spans="1:10" ht="22.8">
      <c r="A6" s="429">
        <v>5</v>
      </c>
      <c r="B6" s="430" t="s">
        <v>492</v>
      </c>
      <c r="C6" s="429" t="s">
        <v>483</v>
      </c>
      <c r="D6" s="431"/>
      <c r="E6" s="429" t="s">
        <v>493</v>
      </c>
      <c r="F6" s="429"/>
      <c r="J6" s="425" t="s">
        <v>494</v>
      </c>
    </row>
    <row r="7" spans="1:10" ht="22.8">
      <c r="A7" s="429">
        <v>6</v>
      </c>
      <c r="B7" s="430" t="s">
        <v>495</v>
      </c>
      <c r="C7" s="429" t="s">
        <v>496</v>
      </c>
      <c r="D7" s="431"/>
      <c r="E7" s="429" t="s">
        <v>484</v>
      </c>
      <c r="F7" s="429"/>
      <c r="J7" s="425" t="s">
        <v>497</v>
      </c>
    </row>
    <row r="8" spans="1:10" ht="34.200000000000003">
      <c r="A8" s="429">
        <v>7</v>
      </c>
      <c r="B8" s="430" t="s">
        <v>498</v>
      </c>
      <c r="C8" s="429" t="s">
        <v>499</v>
      </c>
      <c r="D8" s="431"/>
      <c r="E8" s="429" t="s">
        <v>484</v>
      </c>
      <c r="F8" s="429"/>
    </row>
    <row r="9" spans="1:10">
      <c r="A9" s="429">
        <v>8</v>
      </c>
      <c r="B9" s="430" t="s">
        <v>500</v>
      </c>
      <c r="C9" s="429" t="s">
        <v>501</v>
      </c>
      <c r="D9" s="431"/>
      <c r="E9" s="429" t="s">
        <v>484</v>
      </c>
      <c r="F9" s="429"/>
    </row>
    <row r="10" spans="1:10" ht="22.8">
      <c r="A10" s="429">
        <v>9</v>
      </c>
      <c r="B10" s="430" t="s">
        <v>502</v>
      </c>
      <c r="C10" s="429" t="s">
        <v>483</v>
      </c>
      <c r="D10" s="431"/>
      <c r="E10" s="429" t="s">
        <v>493</v>
      </c>
      <c r="F10" s="429" t="s">
        <v>503</v>
      </c>
    </row>
    <row r="11" spans="1:10">
      <c r="A11" s="429">
        <v>10</v>
      </c>
      <c r="B11" s="430" t="s">
        <v>504</v>
      </c>
      <c r="C11" s="429" t="s">
        <v>501</v>
      </c>
      <c r="D11" s="431"/>
      <c r="E11" s="429" t="s">
        <v>505</v>
      </c>
      <c r="F11" s="429"/>
    </row>
    <row r="12" spans="1:10" ht="22.8">
      <c r="A12" s="429">
        <v>11</v>
      </c>
      <c r="B12" s="430" t="s">
        <v>506</v>
      </c>
      <c r="C12" s="429" t="s">
        <v>483</v>
      </c>
      <c r="D12" s="431"/>
      <c r="E12" s="429" t="s">
        <v>505</v>
      </c>
      <c r="F12" s="429"/>
    </row>
    <row r="13" spans="1:10" ht="22.8">
      <c r="A13" s="429">
        <v>12</v>
      </c>
      <c r="B13" s="430" t="s">
        <v>507</v>
      </c>
      <c r="C13" s="429" t="s">
        <v>483</v>
      </c>
      <c r="D13" s="431"/>
      <c r="E13" s="429" t="s">
        <v>484</v>
      </c>
      <c r="F13" s="429"/>
    </row>
    <row r="14" spans="1:10" ht="22.8">
      <c r="A14" s="429">
        <v>13</v>
      </c>
      <c r="B14" s="430" t="s">
        <v>508</v>
      </c>
      <c r="C14" s="429" t="s">
        <v>483</v>
      </c>
      <c r="D14" s="431"/>
      <c r="E14" s="429" t="s">
        <v>484</v>
      </c>
      <c r="F14" s="429"/>
    </row>
    <row r="15" spans="1:10" ht="22.8">
      <c r="A15" s="429">
        <v>14</v>
      </c>
      <c r="B15" s="430" t="s">
        <v>509</v>
      </c>
      <c r="C15" s="429" t="s">
        <v>483</v>
      </c>
      <c r="D15" s="431"/>
      <c r="E15" s="429" t="s">
        <v>505</v>
      </c>
      <c r="F15" s="429"/>
    </row>
    <row r="16" spans="1:10" ht="22.8">
      <c r="A16" s="429">
        <v>15</v>
      </c>
      <c r="B16" s="430" t="s">
        <v>510</v>
      </c>
      <c r="C16" s="429" t="s">
        <v>483</v>
      </c>
      <c r="D16" s="431"/>
      <c r="E16" s="429" t="s">
        <v>484</v>
      </c>
      <c r="F16" s="429"/>
    </row>
    <row r="17" spans="1:6" ht="22.8">
      <c r="A17" s="429">
        <v>16</v>
      </c>
      <c r="B17" s="430" t="s">
        <v>511</v>
      </c>
      <c r="C17" s="429" t="s">
        <v>512</v>
      </c>
      <c r="D17" s="431"/>
      <c r="E17" s="429" t="s">
        <v>505</v>
      </c>
      <c r="F17" s="429"/>
    </row>
    <row r="18" spans="1:6">
      <c r="A18" s="429">
        <v>17</v>
      </c>
      <c r="B18" s="430" t="s">
        <v>513</v>
      </c>
      <c r="C18" s="429" t="s">
        <v>501</v>
      </c>
      <c r="D18" s="431"/>
      <c r="E18" s="429" t="s">
        <v>484</v>
      </c>
      <c r="F18" s="429"/>
    </row>
    <row r="19" spans="1:6" ht="22.8">
      <c r="A19" s="429">
        <v>18</v>
      </c>
      <c r="B19" s="430" t="s">
        <v>514</v>
      </c>
      <c r="C19" s="429" t="s">
        <v>483</v>
      </c>
      <c r="D19" s="431"/>
      <c r="E19" s="429" t="s">
        <v>484</v>
      </c>
      <c r="F19" s="429"/>
    </row>
    <row r="20" spans="1:6" ht="45.6">
      <c r="A20" s="429">
        <v>19</v>
      </c>
      <c r="B20" s="430" t="s">
        <v>515</v>
      </c>
      <c r="C20" s="429" t="s">
        <v>516</v>
      </c>
      <c r="D20" s="431"/>
      <c r="E20" s="429" t="s">
        <v>484</v>
      </c>
      <c r="F20" s="429"/>
    </row>
    <row r="21" spans="1:6" ht="34.200000000000003">
      <c r="A21" s="429">
        <v>20</v>
      </c>
      <c r="B21" s="430" t="s">
        <v>517</v>
      </c>
      <c r="C21" s="429" t="s">
        <v>499</v>
      </c>
      <c r="D21" s="431"/>
      <c r="E21" s="429" t="s">
        <v>505</v>
      </c>
      <c r="F21" s="429"/>
    </row>
    <row r="22" spans="1:6" ht="34.200000000000003">
      <c r="A22" s="429">
        <v>21</v>
      </c>
      <c r="B22" s="430" t="s">
        <v>518</v>
      </c>
      <c r="C22" s="429" t="s">
        <v>499</v>
      </c>
      <c r="D22" s="431"/>
      <c r="E22" s="429" t="s">
        <v>505</v>
      </c>
      <c r="F22" s="429"/>
    </row>
    <row r="23" spans="1:6">
      <c r="A23" s="429">
        <v>22</v>
      </c>
      <c r="B23" s="430" t="s">
        <v>519</v>
      </c>
      <c r="C23" s="429" t="s">
        <v>501</v>
      </c>
      <c r="D23" s="431"/>
      <c r="E23" s="429" t="s">
        <v>484</v>
      </c>
      <c r="F23" s="429"/>
    </row>
    <row r="24" spans="1:6">
      <c r="A24" s="429">
        <v>23</v>
      </c>
      <c r="B24" s="430" t="s">
        <v>520</v>
      </c>
      <c r="C24" s="429" t="s">
        <v>501</v>
      </c>
      <c r="D24" s="431"/>
      <c r="E24" s="429" t="s">
        <v>505</v>
      </c>
      <c r="F24" s="429"/>
    </row>
    <row r="25" spans="1:6" ht="22.8">
      <c r="A25" s="429">
        <v>24</v>
      </c>
      <c r="B25" s="430" t="s">
        <v>521</v>
      </c>
      <c r="C25" s="429" t="s">
        <v>501</v>
      </c>
      <c r="D25" s="431"/>
      <c r="E25" s="429" t="s">
        <v>505</v>
      </c>
      <c r="F25" s="429"/>
    </row>
    <row r="26" spans="1:6">
      <c r="A26" s="429">
        <v>25</v>
      </c>
      <c r="B26" s="430" t="s">
        <v>522</v>
      </c>
      <c r="C26" s="429" t="s">
        <v>523</v>
      </c>
      <c r="D26" s="431"/>
      <c r="E26" s="429" t="s">
        <v>505</v>
      </c>
      <c r="F26" s="429"/>
    </row>
    <row r="27" spans="1:6">
      <c r="A27" s="429">
        <v>26</v>
      </c>
      <c r="B27" s="430" t="s">
        <v>452</v>
      </c>
      <c r="C27" s="429" t="s">
        <v>523</v>
      </c>
      <c r="D27" s="431"/>
      <c r="E27" s="429" t="s">
        <v>505</v>
      </c>
      <c r="F27" s="429"/>
    </row>
    <row r="28" spans="1:6">
      <c r="A28" s="429">
        <v>27</v>
      </c>
      <c r="B28" s="430" t="s">
        <v>524</v>
      </c>
      <c r="C28" s="429" t="s">
        <v>501</v>
      </c>
      <c r="D28" s="431"/>
      <c r="E28" s="429" t="s">
        <v>505</v>
      </c>
      <c r="F28" s="429"/>
    </row>
    <row r="29" spans="1:6">
      <c r="A29" s="429">
        <v>28</v>
      </c>
      <c r="B29" s="430" t="s">
        <v>525</v>
      </c>
      <c r="C29" s="429" t="s">
        <v>526</v>
      </c>
      <c r="D29" s="431"/>
      <c r="E29" s="429" t="s">
        <v>484</v>
      </c>
      <c r="F29" s="429" t="s">
        <v>527</v>
      </c>
    </row>
    <row r="30" spans="1:6">
      <c r="A30" s="429">
        <v>29</v>
      </c>
      <c r="B30" s="430" t="s">
        <v>470</v>
      </c>
      <c r="C30" s="429" t="s">
        <v>501</v>
      </c>
      <c r="D30" s="431"/>
      <c r="E30" s="429" t="s">
        <v>484</v>
      </c>
      <c r="F30" s="429" t="s">
        <v>528</v>
      </c>
    </row>
    <row r="31" spans="1:6">
      <c r="A31" s="429"/>
      <c r="B31" s="430"/>
      <c r="C31" s="429"/>
      <c r="D31" s="431"/>
      <c r="E31" s="429"/>
      <c r="F31" s="429"/>
    </row>
    <row r="32" spans="1:6">
      <c r="A32" s="429"/>
      <c r="B32" s="430"/>
      <c r="C32" s="429"/>
      <c r="D32" s="431"/>
      <c r="E32" s="429"/>
      <c r="F32" s="429"/>
    </row>
    <row r="33" spans="1:6">
      <c r="A33" s="429"/>
      <c r="B33" s="430"/>
      <c r="C33" s="429"/>
      <c r="D33" s="431"/>
      <c r="E33" s="429"/>
      <c r="F33" s="429"/>
    </row>
    <row r="34" spans="1:6">
      <c r="A34" s="429"/>
      <c r="B34" s="430"/>
      <c r="C34" s="429"/>
      <c r="D34" s="431"/>
      <c r="E34" s="429"/>
      <c r="F34" s="429"/>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238B5-8672-4011-B30C-312B4D239FEA}">
  <dimension ref="A1:D10"/>
  <sheetViews>
    <sheetView workbookViewId="0">
      <selection activeCell="E4" sqref="E4"/>
    </sheetView>
  </sheetViews>
  <sheetFormatPr baseColWidth="10" defaultColWidth="8.88671875" defaultRowHeight="13.2"/>
  <cols>
    <col min="1" max="1" width="47.6640625" customWidth="1"/>
    <col min="2" max="2" width="38.6640625" customWidth="1"/>
    <col min="3" max="3" width="18.5546875" customWidth="1"/>
    <col min="4" max="4" width="31.6640625" customWidth="1"/>
    <col min="5" max="5" width="55.109375" customWidth="1"/>
  </cols>
  <sheetData>
    <row r="1" spans="1:4">
      <c r="A1" s="326" t="s">
        <v>529</v>
      </c>
      <c r="B1" s="326" t="s">
        <v>530</v>
      </c>
      <c r="C1" s="326" t="s">
        <v>531</v>
      </c>
      <c r="D1" s="326" t="s">
        <v>532</v>
      </c>
    </row>
    <row r="2" spans="1:4">
      <c r="A2" s="327" t="s">
        <v>533</v>
      </c>
      <c r="B2" s="328" t="s">
        <v>534</v>
      </c>
      <c r="C2" s="328">
        <v>15</v>
      </c>
      <c r="D2" s="328">
        <v>18</v>
      </c>
    </row>
    <row r="3" spans="1:4">
      <c r="A3" s="327" t="s">
        <v>533</v>
      </c>
      <c r="B3" s="328" t="s">
        <v>535</v>
      </c>
      <c r="C3" s="328">
        <v>8</v>
      </c>
      <c r="D3" s="328">
        <v>10</v>
      </c>
    </row>
    <row r="4" spans="1:4">
      <c r="A4" s="327" t="s">
        <v>536</v>
      </c>
      <c r="B4" s="328" t="s">
        <v>534</v>
      </c>
      <c r="C4" s="328">
        <v>16</v>
      </c>
      <c r="D4" s="328">
        <v>20</v>
      </c>
    </row>
    <row r="5" spans="1:4" ht="25.2">
      <c r="A5" s="327" t="s">
        <v>537</v>
      </c>
      <c r="B5" s="327" t="s">
        <v>538</v>
      </c>
      <c r="C5" s="328" t="s">
        <v>539</v>
      </c>
      <c r="D5" s="327" t="s">
        <v>540</v>
      </c>
    </row>
    <row r="6" spans="1:4" ht="25.2">
      <c r="A6" s="513" t="s">
        <v>541</v>
      </c>
      <c r="B6" s="513" t="s">
        <v>542</v>
      </c>
      <c r="C6" s="328" t="s">
        <v>543</v>
      </c>
      <c r="D6" s="327" t="s">
        <v>544</v>
      </c>
    </row>
    <row r="7" spans="1:4" ht="37.799999999999997">
      <c r="A7" s="513"/>
      <c r="B7" s="513"/>
      <c r="C7" s="328" t="s">
        <v>545</v>
      </c>
      <c r="D7" s="327" t="s">
        <v>546</v>
      </c>
    </row>
    <row r="8" spans="1:4" ht="25.2">
      <c r="A8" s="513"/>
      <c r="B8" s="513" t="s">
        <v>547</v>
      </c>
      <c r="C8" s="328" t="s">
        <v>548</v>
      </c>
      <c r="D8" s="328" t="s">
        <v>549</v>
      </c>
    </row>
    <row r="9" spans="1:4" ht="50.4">
      <c r="A9" s="513"/>
      <c r="B9" s="513"/>
      <c r="C9" s="328" t="s">
        <v>550</v>
      </c>
      <c r="D9" s="328" t="s">
        <v>546</v>
      </c>
    </row>
    <row r="10" spans="1:4">
      <c r="A10" s="328" t="s">
        <v>551</v>
      </c>
      <c r="B10" s="328" t="s">
        <v>552</v>
      </c>
      <c r="C10" s="328">
        <v>10</v>
      </c>
      <c r="D10" s="328">
        <v>12</v>
      </c>
    </row>
  </sheetData>
  <mergeCells count="3">
    <mergeCell ref="A6:A9"/>
    <mergeCell ref="B6:B7"/>
    <mergeCell ref="B8:B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106-2517-4906-A8B8-235DC91A8E90}">
  <dimension ref="A1:F27"/>
  <sheetViews>
    <sheetView workbookViewId="0">
      <selection activeCell="D26" sqref="D26"/>
    </sheetView>
  </sheetViews>
  <sheetFormatPr baseColWidth="10" defaultColWidth="8.88671875" defaultRowHeight="13.2"/>
  <cols>
    <col min="2" max="2" width="26.109375" customWidth="1"/>
    <col min="3" max="3" width="18.88671875" customWidth="1"/>
    <col min="4" max="4" width="14.5546875" customWidth="1"/>
    <col min="5" max="5" width="20.6640625" customWidth="1"/>
  </cols>
  <sheetData>
    <row r="1" spans="1:6" ht="24">
      <c r="A1" s="364" t="s">
        <v>476</v>
      </c>
      <c r="B1" s="365" t="s">
        <v>553</v>
      </c>
      <c r="C1" s="365" t="s">
        <v>88</v>
      </c>
      <c r="D1" s="365" t="s">
        <v>554</v>
      </c>
      <c r="E1" s="366" t="s">
        <v>555</v>
      </c>
      <c r="F1" s="366" t="s">
        <v>556</v>
      </c>
    </row>
    <row r="2" spans="1:6" hidden="1">
      <c r="A2" s="435"/>
      <c r="B2" s="435" t="s">
        <v>557</v>
      </c>
      <c r="C2" s="435"/>
      <c r="D2" s="435"/>
      <c r="E2" s="435"/>
      <c r="F2" s="435" t="s">
        <v>484</v>
      </c>
    </row>
    <row r="3" spans="1:6">
      <c r="A3" s="367">
        <v>1</v>
      </c>
      <c r="B3" s="367" t="s">
        <v>558</v>
      </c>
      <c r="C3" s="367" t="s">
        <v>559</v>
      </c>
      <c r="D3" s="367"/>
      <c r="E3" s="367"/>
      <c r="F3" s="367" t="s">
        <v>505</v>
      </c>
    </row>
    <row r="4" spans="1:6">
      <c r="A4" s="367">
        <v>2</v>
      </c>
      <c r="B4" s="367" t="s">
        <v>560</v>
      </c>
      <c r="C4" s="367" t="s">
        <v>561</v>
      </c>
      <c r="D4" s="367"/>
      <c r="E4" s="367"/>
      <c r="F4" s="367" t="s">
        <v>505</v>
      </c>
    </row>
    <row r="5" spans="1:6">
      <c r="A5" s="367">
        <v>3</v>
      </c>
      <c r="B5" s="367" t="s">
        <v>562</v>
      </c>
      <c r="C5" s="367"/>
      <c r="D5" s="367"/>
      <c r="E5" s="367"/>
      <c r="F5" s="367" t="s">
        <v>505</v>
      </c>
    </row>
    <row r="6" spans="1:6">
      <c r="A6" s="367">
        <v>4</v>
      </c>
      <c r="B6" s="367" t="s">
        <v>563</v>
      </c>
      <c r="C6" s="367"/>
      <c r="D6" s="367"/>
      <c r="E6" s="367"/>
      <c r="F6" s="367" t="s">
        <v>505</v>
      </c>
    </row>
    <row r="7" spans="1:6">
      <c r="A7" s="367">
        <v>5</v>
      </c>
      <c r="B7" s="367" t="s">
        <v>564</v>
      </c>
      <c r="C7" s="367"/>
      <c r="D7" s="367"/>
      <c r="E7" s="367"/>
      <c r="F7" s="367" t="s">
        <v>505</v>
      </c>
    </row>
    <row r="8" spans="1:6">
      <c r="A8" s="367">
        <v>6</v>
      </c>
      <c r="B8" s="367" t="s">
        <v>565</v>
      </c>
      <c r="C8" s="367"/>
      <c r="D8" s="367"/>
      <c r="E8" s="367"/>
      <c r="F8" s="367" t="s">
        <v>505</v>
      </c>
    </row>
    <row r="9" spans="1:6">
      <c r="A9" s="367">
        <v>7</v>
      </c>
      <c r="B9" s="367" t="s">
        <v>566</v>
      </c>
      <c r="C9" s="367"/>
      <c r="D9" s="367"/>
      <c r="E9" s="367"/>
      <c r="F9" s="367" t="s">
        <v>505</v>
      </c>
    </row>
    <row r="10" spans="1:6">
      <c r="A10" s="367">
        <v>8</v>
      </c>
      <c r="B10" s="367" t="s">
        <v>486</v>
      </c>
      <c r="C10" s="367" t="s">
        <v>486</v>
      </c>
      <c r="D10" s="367"/>
      <c r="E10" s="367"/>
      <c r="F10" s="367" t="s">
        <v>505</v>
      </c>
    </row>
    <row r="11" spans="1:6">
      <c r="A11" s="367">
        <v>9</v>
      </c>
      <c r="B11" s="367" t="s">
        <v>567</v>
      </c>
      <c r="C11" s="367" t="s">
        <v>567</v>
      </c>
      <c r="D11" s="367"/>
      <c r="E11" s="367"/>
      <c r="F11" s="367" t="s">
        <v>505</v>
      </c>
    </row>
    <row r="12" spans="1:6">
      <c r="A12" s="367">
        <v>10</v>
      </c>
      <c r="B12" s="367" t="s">
        <v>488</v>
      </c>
      <c r="C12" s="367" t="s">
        <v>488</v>
      </c>
      <c r="D12" s="367"/>
      <c r="E12" s="367"/>
      <c r="F12" s="367" t="s">
        <v>505</v>
      </c>
    </row>
    <row r="13" spans="1:6">
      <c r="A13" s="367">
        <v>11</v>
      </c>
      <c r="B13" s="367" t="s">
        <v>498</v>
      </c>
      <c r="C13" s="367"/>
      <c r="D13" s="367"/>
      <c r="E13" s="367"/>
      <c r="F13" s="367" t="s">
        <v>505</v>
      </c>
    </row>
    <row r="14" spans="1:6">
      <c r="A14" s="367">
        <v>12</v>
      </c>
      <c r="B14" s="367" t="s">
        <v>568</v>
      </c>
      <c r="C14" s="367" t="s">
        <v>569</v>
      </c>
      <c r="D14" s="367"/>
      <c r="E14" s="367"/>
      <c r="F14" s="367" t="s">
        <v>505</v>
      </c>
    </row>
    <row r="15" spans="1:6">
      <c r="A15" s="367">
        <v>13</v>
      </c>
      <c r="B15" s="367" t="s">
        <v>570</v>
      </c>
      <c r="C15" s="367" t="s">
        <v>571</v>
      </c>
      <c r="D15" s="367"/>
      <c r="E15" s="367"/>
      <c r="F15" s="367" t="s">
        <v>505</v>
      </c>
    </row>
    <row r="16" spans="1:6">
      <c r="A16" s="367">
        <v>14</v>
      </c>
      <c r="B16" s="367" t="s">
        <v>572</v>
      </c>
      <c r="C16" s="367"/>
      <c r="D16" s="367"/>
      <c r="E16" s="367"/>
      <c r="F16" s="367" t="s">
        <v>505</v>
      </c>
    </row>
    <row r="17" spans="1:6">
      <c r="A17" s="367">
        <v>15</v>
      </c>
      <c r="B17" s="367" t="s">
        <v>573</v>
      </c>
      <c r="C17" s="367" t="s">
        <v>574</v>
      </c>
      <c r="D17" s="367"/>
      <c r="E17" s="367"/>
      <c r="F17" s="367" t="s">
        <v>505</v>
      </c>
    </row>
    <row r="18" spans="1:6" ht="20.399999999999999" hidden="1">
      <c r="A18" s="435"/>
      <c r="B18" s="435" t="s">
        <v>575</v>
      </c>
      <c r="C18" s="435" t="s">
        <v>576</v>
      </c>
      <c r="D18" s="435"/>
      <c r="E18" s="435" t="s">
        <v>577</v>
      </c>
      <c r="F18" s="435" t="s">
        <v>484</v>
      </c>
    </row>
    <row r="19" spans="1:6" ht="20.399999999999999" hidden="1">
      <c r="A19" s="435"/>
      <c r="B19" s="435" t="s">
        <v>578</v>
      </c>
      <c r="C19" s="435" t="s">
        <v>576</v>
      </c>
      <c r="D19" s="435"/>
      <c r="E19" s="435" t="s">
        <v>577</v>
      </c>
      <c r="F19" s="435" t="s">
        <v>484</v>
      </c>
    </row>
    <row r="20" spans="1:6">
      <c r="A20" s="367">
        <v>16</v>
      </c>
      <c r="B20" s="367" t="s">
        <v>579</v>
      </c>
      <c r="C20" s="367" t="s">
        <v>580</v>
      </c>
      <c r="D20" s="367"/>
      <c r="E20" s="367"/>
      <c r="F20" s="367" t="s">
        <v>505</v>
      </c>
    </row>
    <row r="21" spans="1:6">
      <c r="A21" s="367">
        <v>17</v>
      </c>
      <c r="B21" s="367" t="s">
        <v>581</v>
      </c>
      <c r="C21" s="367" t="s">
        <v>569</v>
      </c>
      <c r="D21" s="367"/>
      <c r="E21" s="367"/>
      <c r="F21" s="367" t="s">
        <v>505</v>
      </c>
    </row>
    <row r="22" spans="1:6">
      <c r="A22" s="367">
        <v>18</v>
      </c>
      <c r="B22" s="367" t="s">
        <v>582</v>
      </c>
      <c r="C22" s="367" t="s">
        <v>583</v>
      </c>
      <c r="D22" s="367"/>
      <c r="E22" s="367"/>
      <c r="F22" s="367" t="s">
        <v>505</v>
      </c>
    </row>
    <row r="23" spans="1:6" ht="20.399999999999999" hidden="1">
      <c r="A23" s="435"/>
      <c r="B23" s="435" t="s">
        <v>584</v>
      </c>
      <c r="C23" s="435"/>
      <c r="D23" s="437">
        <v>45689</v>
      </c>
      <c r="E23" s="435" t="s">
        <v>585</v>
      </c>
      <c r="F23" s="435" t="s">
        <v>484</v>
      </c>
    </row>
    <row r="24" spans="1:6" ht="20.399999999999999" hidden="1">
      <c r="A24" s="435"/>
      <c r="B24" s="435" t="s">
        <v>586</v>
      </c>
      <c r="C24" s="435" t="s">
        <v>574</v>
      </c>
      <c r="D24" s="437">
        <v>45778</v>
      </c>
      <c r="E24" s="435" t="s">
        <v>585</v>
      </c>
      <c r="F24" s="435" t="s">
        <v>484</v>
      </c>
    </row>
    <row r="25" spans="1:6">
      <c r="A25" s="367">
        <v>19</v>
      </c>
      <c r="B25" s="367" t="s">
        <v>587</v>
      </c>
      <c r="C25" s="367" t="s">
        <v>574</v>
      </c>
      <c r="D25" s="436">
        <v>46023</v>
      </c>
      <c r="E25" s="367"/>
      <c r="F25" s="367" t="s">
        <v>505</v>
      </c>
    </row>
    <row r="26" spans="1:6">
      <c r="A26" s="367">
        <v>20</v>
      </c>
      <c r="B26" s="367" t="s">
        <v>588</v>
      </c>
      <c r="C26" s="367" t="s">
        <v>569</v>
      </c>
      <c r="D26" s="436">
        <v>46054</v>
      </c>
      <c r="E26" s="367"/>
      <c r="F26" s="367" t="s">
        <v>505</v>
      </c>
    </row>
    <row r="27" spans="1:6">
      <c r="A27" s="367">
        <v>21</v>
      </c>
      <c r="B27" s="367" t="s">
        <v>589</v>
      </c>
      <c r="C27" s="367" t="s">
        <v>589</v>
      </c>
      <c r="D27" s="367"/>
      <c r="E27" s="367"/>
      <c r="F27" s="36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ECB99-5C2C-47CF-B720-5113A8EA2446}">
  <sheetPr filterMode="1"/>
  <dimension ref="A1:H147"/>
  <sheetViews>
    <sheetView workbookViewId="0">
      <pane ySplit="1" topLeftCell="A99" activePane="bottomLeft" state="frozen"/>
      <selection pane="bottomLeft" activeCell="A107" sqref="A107"/>
    </sheetView>
  </sheetViews>
  <sheetFormatPr baseColWidth="10" defaultColWidth="9.109375" defaultRowHeight="15" customHeight="1"/>
  <cols>
    <col min="1" max="1" width="6.33203125" style="466" customWidth="1"/>
    <col min="2" max="2" width="14.44140625" style="467" customWidth="1"/>
    <col min="3" max="3" width="60.6640625" style="468" customWidth="1"/>
    <col min="4" max="4" width="13.33203125" style="467" customWidth="1"/>
    <col min="5" max="5" width="34.44140625" style="472" customWidth="1"/>
    <col min="6" max="6" width="9" style="467" customWidth="1"/>
    <col min="7" max="7" width="10.33203125" style="467" customWidth="1"/>
    <col min="8" max="8" width="16" style="453" customWidth="1"/>
    <col min="9" max="16384" width="9.109375" style="453"/>
  </cols>
  <sheetData>
    <row r="1" spans="1:7" ht="23.25" customHeight="1">
      <c r="A1" s="427" t="s">
        <v>476</v>
      </c>
      <c r="B1" s="452" t="s">
        <v>590</v>
      </c>
      <c r="C1" s="428" t="s">
        <v>591</v>
      </c>
      <c r="D1" s="428" t="s">
        <v>554</v>
      </c>
      <c r="E1" s="428" t="s">
        <v>555</v>
      </c>
      <c r="F1" s="428" t="s">
        <v>592</v>
      </c>
      <c r="G1" s="428" t="s">
        <v>593</v>
      </c>
    </row>
    <row r="2" spans="1:7" ht="11.4">
      <c r="A2" s="429">
        <v>1</v>
      </c>
      <c r="B2" s="430" t="s">
        <v>594</v>
      </c>
      <c r="C2" s="430" t="s">
        <v>595</v>
      </c>
      <c r="D2" s="431">
        <v>43468</v>
      </c>
      <c r="E2" s="430"/>
      <c r="F2" s="429" t="s">
        <v>505</v>
      </c>
      <c r="G2" s="429" t="s">
        <v>505</v>
      </c>
    </row>
    <row r="3" spans="1:7" ht="11.4">
      <c r="A3" s="429">
        <v>2</v>
      </c>
      <c r="B3" s="430" t="s">
        <v>594</v>
      </c>
      <c r="C3" s="430" t="s">
        <v>596</v>
      </c>
      <c r="D3" s="431">
        <v>43496</v>
      </c>
      <c r="E3" s="430"/>
      <c r="F3" s="429" t="s">
        <v>505</v>
      </c>
      <c r="G3" s="429" t="s">
        <v>505</v>
      </c>
    </row>
    <row r="4" spans="1:7" ht="11.4">
      <c r="A4" s="429">
        <v>3</v>
      </c>
      <c r="B4" s="430" t="s">
        <v>594</v>
      </c>
      <c r="C4" s="430" t="s">
        <v>597</v>
      </c>
      <c r="D4" s="454">
        <v>43678</v>
      </c>
      <c r="E4" s="430"/>
      <c r="F4" s="429" t="s">
        <v>505</v>
      </c>
      <c r="G4" s="429" t="s">
        <v>505</v>
      </c>
    </row>
    <row r="5" spans="1:7" ht="11.4">
      <c r="A5" s="429">
        <v>4</v>
      </c>
      <c r="B5" s="430" t="s">
        <v>594</v>
      </c>
      <c r="C5" s="430" t="s">
        <v>598</v>
      </c>
      <c r="D5" s="431">
        <v>43700</v>
      </c>
      <c r="E5" s="430"/>
      <c r="F5" s="429" t="s">
        <v>505</v>
      </c>
      <c r="G5" s="429" t="s">
        <v>505</v>
      </c>
    </row>
    <row r="6" spans="1:7" ht="11.4">
      <c r="A6" s="429">
        <v>5</v>
      </c>
      <c r="B6" s="430" t="s">
        <v>594</v>
      </c>
      <c r="C6" s="430" t="s">
        <v>599</v>
      </c>
      <c r="D6" s="431">
        <v>43705</v>
      </c>
      <c r="E6" s="430"/>
      <c r="F6" s="429" t="s">
        <v>505</v>
      </c>
      <c r="G6" s="429" t="s">
        <v>505</v>
      </c>
    </row>
    <row r="7" spans="1:7" ht="11.4">
      <c r="A7" s="429">
        <v>6</v>
      </c>
      <c r="B7" s="430" t="s">
        <v>594</v>
      </c>
      <c r="C7" s="430" t="s">
        <v>600</v>
      </c>
      <c r="D7" s="454">
        <v>43719</v>
      </c>
      <c r="E7" s="430"/>
      <c r="F7" s="429" t="s">
        <v>505</v>
      </c>
      <c r="G7" s="429" t="s">
        <v>505</v>
      </c>
    </row>
    <row r="8" spans="1:7" ht="11.4">
      <c r="A8" s="429">
        <v>7</v>
      </c>
      <c r="B8" s="430" t="s">
        <v>594</v>
      </c>
      <c r="C8" s="430" t="s">
        <v>601</v>
      </c>
      <c r="D8" s="431">
        <v>43874</v>
      </c>
      <c r="E8" s="430"/>
      <c r="F8" s="429" t="s">
        <v>505</v>
      </c>
      <c r="G8" s="429" t="s">
        <v>505</v>
      </c>
    </row>
    <row r="9" spans="1:7" ht="11.4">
      <c r="A9" s="429">
        <v>8</v>
      </c>
      <c r="B9" s="430" t="s">
        <v>594</v>
      </c>
      <c r="C9" s="430" t="s">
        <v>602</v>
      </c>
      <c r="D9" s="431">
        <v>44266</v>
      </c>
      <c r="E9" s="430"/>
      <c r="F9" s="429" t="s">
        <v>505</v>
      </c>
      <c r="G9" s="429" t="s">
        <v>505</v>
      </c>
    </row>
    <row r="10" spans="1:7" ht="11.4">
      <c r="A10" s="429">
        <v>9</v>
      </c>
      <c r="B10" s="430" t="s">
        <v>594</v>
      </c>
      <c r="C10" s="430" t="s">
        <v>603</v>
      </c>
      <c r="D10" s="454">
        <v>44287</v>
      </c>
      <c r="E10" s="430"/>
      <c r="F10" s="429" t="s">
        <v>505</v>
      </c>
      <c r="G10" s="429" t="s">
        <v>505</v>
      </c>
    </row>
    <row r="11" spans="1:7" ht="11.4">
      <c r="A11" s="429">
        <v>10</v>
      </c>
      <c r="B11" s="430" t="s">
        <v>594</v>
      </c>
      <c r="C11" s="430" t="s">
        <v>604</v>
      </c>
      <c r="D11" s="431">
        <v>44333</v>
      </c>
      <c r="E11" s="430"/>
      <c r="F11" s="429" t="s">
        <v>505</v>
      </c>
      <c r="G11" s="429" t="s">
        <v>505</v>
      </c>
    </row>
    <row r="12" spans="1:7" ht="11.4">
      <c r="A12" s="429">
        <v>11</v>
      </c>
      <c r="B12" s="430" t="s">
        <v>594</v>
      </c>
      <c r="C12" s="430" t="s">
        <v>605</v>
      </c>
      <c r="D12" s="431">
        <v>44406</v>
      </c>
      <c r="E12" s="430"/>
      <c r="F12" s="429" t="s">
        <v>505</v>
      </c>
      <c r="G12" s="429" t="s">
        <v>505</v>
      </c>
    </row>
    <row r="13" spans="1:7" ht="11.4">
      <c r="A13" s="429">
        <v>12</v>
      </c>
      <c r="B13" s="430" t="s">
        <v>594</v>
      </c>
      <c r="C13" s="430" t="s">
        <v>606</v>
      </c>
      <c r="D13" s="431">
        <v>44410</v>
      </c>
      <c r="E13" s="430"/>
      <c r="F13" s="429" t="s">
        <v>505</v>
      </c>
      <c r="G13" s="429" t="s">
        <v>505</v>
      </c>
    </row>
    <row r="14" spans="1:7" ht="11.4">
      <c r="A14" s="429">
        <v>13</v>
      </c>
      <c r="B14" s="430" t="s">
        <v>594</v>
      </c>
      <c r="C14" s="430" t="s">
        <v>607</v>
      </c>
      <c r="D14" s="431">
        <v>44494</v>
      </c>
      <c r="E14" s="430"/>
      <c r="F14" s="429" t="s">
        <v>505</v>
      </c>
      <c r="G14" s="429" t="s">
        <v>505</v>
      </c>
    </row>
    <row r="15" spans="1:7" ht="11.4">
      <c r="A15" s="429">
        <v>14</v>
      </c>
      <c r="B15" s="430" t="s">
        <v>594</v>
      </c>
      <c r="C15" s="430" t="s">
        <v>608</v>
      </c>
      <c r="D15" s="431">
        <v>44526</v>
      </c>
      <c r="E15" s="430"/>
      <c r="F15" s="429" t="s">
        <v>505</v>
      </c>
      <c r="G15" s="429" t="s">
        <v>505</v>
      </c>
    </row>
    <row r="16" spans="1:7" ht="22.8" hidden="1">
      <c r="A16" s="455"/>
      <c r="B16" s="456" t="s">
        <v>609</v>
      </c>
      <c r="C16" s="456" t="s">
        <v>610</v>
      </c>
      <c r="D16" s="457">
        <v>44615</v>
      </c>
      <c r="E16" s="456" t="s">
        <v>611</v>
      </c>
      <c r="F16" s="455" t="s">
        <v>505</v>
      </c>
      <c r="G16" s="455" t="s">
        <v>484</v>
      </c>
    </row>
    <row r="17" spans="1:7" ht="11.4">
      <c r="A17" s="429">
        <v>15</v>
      </c>
      <c r="B17" s="430" t="s">
        <v>609</v>
      </c>
      <c r="C17" s="430" t="s">
        <v>612</v>
      </c>
      <c r="D17" s="431">
        <v>44638</v>
      </c>
      <c r="E17" s="430"/>
      <c r="F17" s="429" t="s">
        <v>505</v>
      </c>
      <c r="G17" s="429" t="s">
        <v>505</v>
      </c>
    </row>
    <row r="18" spans="1:7" ht="11.4" hidden="1">
      <c r="A18" s="455"/>
      <c r="B18" s="456" t="s">
        <v>613</v>
      </c>
      <c r="C18" s="456" t="s">
        <v>614</v>
      </c>
      <c r="D18" s="457">
        <v>44635</v>
      </c>
      <c r="E18" s="456" t="s">
        <v>615</v>
      </c>
      <c r="F18" s="455" t="s">
        <v>505</v>
      </c>
      <c r="G18" s="455" t="s">
        <v>616</v>
      </c>
    </row>
    <row r="19" spans="1:7" ht="11.4">
      <c r="A19" s="429">
        <v>16</v>
      </c>
      <c r="B19" s="430" t="s">
        <v>613</v>
      </c>
      <c r="C19" s="430" t="s">
        <v>617</v>
      </c>
      <c r="D19" s="431">
        <v>44635</v>
      </c>
      <c r="E19" s="430"/>
      <c r="F19" s="429" t="s">
        <v>505</v>
      </c>
      <c r="G19" s="429" t="s">
        <v>505</v>
      </c>
    </row>
    <row r="20" spans="1:7" ht="11.4" hidden="1">
      <c r="A20" s="455"/>
      <c r="B20" s="456" t="s">
        <v>613</v>
      </c>
      <c r="C20" s="456" t="s">
        <v>618</v>
      </c>
      <c r="D20" s="457">
        <v>44670</v>
      </c>
      <c r="E20" s="456" t="s">
        <v>615</v>
      </c>
      <c r="F20" s="455" t="s">
        <v>505</v>
      </c>
      <c r="G20" s="455" t="s">
        <v>484</v>
      </c>
    </row>
    <row r="21" spans="1:7" ht="11.4">
      <c r="A21" s="429">
        <v>17</v>
      </c>
      <c r="B21" s="430" t="s">
        <v>619</v>
      </c>
      <c r="C21" s="430" t="s">
        <v>620</v>
      </c>
      <c r="D21" s="431">
        <v>44663</v>
      </c>
      <c r="E21" s="430"/>
      <c r="F21" s="429" t="s">
        <v>505</v>
      </c>
      <c r="G21" s="429" t="s">
        <v>505</v>
      </c>
    </row>
    <row r="22" spans="1:7" ht="11.4">
      <c r="A22" s="429">
        <v>18</v>
      </c>
      <c r="B22" s="430" t="s">
        <v>594</v>
      </c>
      <c r="C22" s="430" t="s">
        <v>621</v>
      </c>
      <c r="D22" s="431">
        <v>44671</v>
      </c>
      <c r="E22" s="430"/>
      <c r="F22" s="429" t="s">
        <v>505</v>
      </c>
      <c r="G22" s="429" t="s">
        <v>505</v>
      </c>
    </row>
    <row r="23" spans="1:7" ht="11.4">
      <c r="A23" s="429">
        <v>19</v>
      </c>
      <c r="B23" s="430" t="s">
        <v>613</v>
      </c>
      <c r="C23" s="430" t="s">
        <v>622</v>
      </c>
      <c r="D23" s="431">
        <v>44711</v>
      </c>
      <c r="E23" s="430"/>
      <c r="F23" s="429" t="s">
        <v>505</v>
      </c>
      <c r="G23" s="429" t="s">
        <v>505</v>
      </c>
    </row>
    <row r="24" spans="1:7" ht="11.4">
      <c r="A24" s="429">
        <v>20</v>
      </c>
      <c r="B24" s="430" t="s">
        <v>609</v>
      </c>
      <c r="C24" s="430" t="s">
        <v>623</v>
      </c>
      <c r="D24" s="431">
        <v>44697</v>
      </c>
      <c r="E24" s="430"/>
      <c r="F24" s="429" t="s">
        <v>505</v>
      </c>
      <c r="G24" s="429" t="s">
        <v>505</v>
      </c>
    </row>
    <row r="25" spans="1:7" ht="11.4">
      <c r="A25" s="429">
        <v>21</v>
      </c>
      <c r="B25" s="430" t="s">
        <v>619</v>
      </c>
      <c r="C25" s="430" t="s">
        <v>624</v>
      </c>
      <c r="D25" s="431">
        <v>44698</v>
      </c>
      <c r="E25" s="430"/>
      <c r="F25" s="429" t="s">
        <v>505</v>
      </c>
      <c r="G25" s="429" t="s">
        <v>505</v>
      </c>
    </row>
    <row r="26" spans="1:7" ht="11.4">
      <c r="A26" s="429">
        <v>22</v>
      </c>
      <c r="B26" s="430" t="s">
        <v>609</v>
      </c>
      <c r="C26" s="430" t="s">
        <v>625</v>
      </c>
      <c r="D26" s="454">
        <v>45679</v>
      </c>
      <c r="E26" s="430"/>
      <c r="F26" s="429" t="s">
        <v>505</v>
      </c>
      <c r="G26" s="429" t="s">
        <v>505</v>
      </c>
    </row>
    <row r="27" spans="1:7" ht="11.4">
      <c r="A27" s="429">
        <v>23</v>
      </c>
      <c r="B27" s="430" t="s">
        <v>613</v>
      </c>
      <c r="C27" s="430" t="s">
        <v>626</v>
      </c>
      <c r="D27" s="431">
        <v>44733</v>
      </c>
      <c r="E27" s="430"/>
      <c r="F27" s="429" t="s">
        <v>505</v>
      </c>
      <c r="G27" s="429" t="s">
        <v>505</v>
      </c>
    </row>
    <row r="28" spans="1:7" ht="11.4">
      <c r="A28" s="429">
        <v>24</v>
      </c>
      <c r="B28" s="430" t="s">
        <v>613</v>
      </c>
      <c r="C28" s="430" t="s">
        <v>627</v>
      </c>
      <c r="D28" s="431">
        <v>44733</v>
      </c>
      <c r="E28" s="430"/>
      <c r="F28" s="429" t="s">
        <v>505</v>
      </c>
      <c r="G28" s="429" t="s">
        <v>505</v>
      </c>
    </row>
    <row r="29" spans="1:7" ht="11.4">
      <c r="A29" s="429">
        <v>25</v>
      </c>
      <c r="B29" s="430" t="s">
        <v>609</v>
      </c>
      <c r="C29" s="430" t="s">
        <v>628</v>
      </c>
      <c r="D29" s="431">
        <v>44742</v>
      </c>
      <c r="E29" s="430"/>
      <c r="F29" s="429" t="s">
        <v>505</v>
      </c>
      <c r="G29" s="429" t="s">
        <v>505</v>
      </c>
    </row>
    <row r="30" spans="1:7" ht="11.4">
      <c r="A30" s="429">
        <v>26</v>
      </c>
      <c r="B30" s="430" t="s">
        <v>609</v>
      </c>
      <c r="C30" s="430" t="s">
        <v>629</v>
      </c>
      <c r="D30" s="431">
        <v>44742</v>
      </c>
      <c r="E30" s="430"/>
      <c r="F30" s="429" t="s">
        <v>505</v>
      </c>
      <c r="G30" s="429" t="s">
        <v>505</v>
      </c>
    </row>
    <row r="31" spans="1:7" ht="11.4">
      <c r="A31" s="429">
        <v>27</v>
      </c>
      <c r="B31" s="430" t="s">
        <v>609</v>
      </c>
      <c r="C31" s="430" t="s">
        <v>630</v>
      </c>
      <c r="D31" s="431">
        <v>44742</v>
      </c>
      <c r="E31" s="430"/>
      <c r="F31" s="429" t="s">
        <v>505</v>
      </c>
      <c r="G31" s="429" t="s">
        <v>505</v>
      </c>
    </row>
    <row r="32" spans="1:7" ht="11.4">
      <c r="A32" s="429">
        <v>28</v>
      </c>
      <c r="B32" s="430" t="s">
        <v>609</v>
      </c>
      <c r="C32" s="430" t="s">
        <v>631</v>
      </c>
      <c r="D32" s="431">
        <v>44725</v>
      </c>
      <c r="E32" s="430"/>
      <c r="F32" s="429" t="s">
        <v>505</v>
      </c>
      <c r="G32" s="429" t="s">
        <v>505</v>
      </c>
    </row>
    <row r="33" spans="1:8" ht="11.4">
      <c r="A33" s="429">
        <v>29</v>
      </c>
      <c r="B33" s="430" t="s">
        <v>619</v>
      </c>
      <c r="C33" s="430" t="s">
        <v>632</v>
      </c>
      <c r="D33" s="431">
        <v>44733</v>
      </c>
      <c r="E33" s="430"/>
      <c r="F33" s="429" t="s">
        <v>505</v>
      </c>
      <c r="G33" s="429" t="s">
        <v>505</v>
      </c>
    </row>
    <row r="34" spans="1:8" ht="11.4">
      <c r="A34" s="429">
        <v>30</v>
      </c>
      <c r="B34" s="430" t="s">
        <v>609</v>
      </c>
      <c r="C34" s="430" t="s">
        <v>633</v>
      </c>
      <c r="D34" s="431">
        <v>44755</v>
      </c>
      <c r="E34" s="430"/>
      <c r="F34" s="429" t="s">
        <v>505</v>
      </c>
      <c r="G34" s="429" t="s">
        <v>505</v>
      </c>
      <c r="H34" s="458"/>
    </row>
    <row r="35" spans="1:8" ht="11.4">
      <c r="A35" s="429">
        <v>31</v>
      </c>
      <c r="B35" s="430" t="s">
        <v>609</v>
      </c>
      <c r="C35" s="430" t="s">
        <v>634</v>
      </c>
      <c r="D35" s="431">
        <v>44755</v>
      </c>
      <c r="E35" s="430"/>
      <c r="F35" s="429" t="s">
        <v>505</v>
      </c>
      <c r="G35" s="429" t="s">
        <v>505</v>
      </c>
    </row>
    <row r="36" spans="1:8" ht="11.4">
      <c r="A36" s="429">
        <v>32</v>
      </c>
      <c r="B36" s="430" t="s">
        <v>609</v>
      </c>
      <c r="C36" s="430" t="s">
        <v>635</v>
      </c>
      <c r="D36" s="431">
        <v>44755</v>
      </c>
      <c r="E36" s="430"/>
      <c r="F36" s="429" t="s">
        <v>505</v>
      </c>
      <c r="G36" s="429" t="s">
        <v>505</v>
      </c>
    </row>
    <row r="37" spans="1:8" ht="11.4">
      <c r="A37" s="459">
        <v>33</v>
      </c>
      <c r="B37" s="430" t="s">
        <v>609</v>
      </c>
      <c r="C37" s="430" t="s">
        <v>636</v>
      </c>
      <c r="D37" s="431">
        <v>44755</v>
      </c>
      <c r="E37" s="430"/>
      <c r="F37" s="429" t="s">
        <v>505</v>
      </c>
      <c r="G37" s="429" t="s">
        <v>505</v>
      </c>
    </row>
    <row r="38" spans="1:8" ht="11.4">
      <c r="A38" s="460">
        <v>34</v>
      </c>
      <c r="B38" s="430" t="s">
        <v>609</v>
      </c>
      <c r="C38" s="430" t="s">
        <v>637</v>
      </c>
      <c r="D38" s="431">
        <v>44755</v>
      </c>
      <c r="E38" s="430"/>
      <c r="F38" s="429" t="s">
        <v>505</v>
      </c>
      <c r="G38" s="429" t="s">
        <v>505</v>
      </c>
    </row>
    <row r="39" spans="1:8" ht="11.4">
      <c r="A39" s="461">
        <v>35</v>
      </c>
      <c r="B39" s="430" t="s">
        <v>609</v>
      </c>
      <c r="C39" s="430" t="s">
        <v>638</v>
      </c>
      <c r="D39" s="431">
        <v>44755</v>
      </c>
      <c r="E39" s="430"/>
      <c r="F39" s="429" t="s">
        <v>505</v>
      </c>
      <c r="G39" s="429" t="s">
        <v>505</v>
      </c>
    </row>
    <row r="40" spans="1:8" ht="11.4">
      <c r="A40" s="429">
        <v>36</v>
      </c>
      <c r="B40" s="430" t="s">
        <v>609</v>
      </c>
      <c r="C40" s="430" t="s">
        <v>639</v>
      </c>
      <c r="D40" s="431">
        <v>44683</v>
      </c>
      <c r="E40" s="430"/>
      <c r="F40" s="429" t="s">
        <v>505</v>
      </c>
      <c r="G40" s="429" t="s">
        <v>505</v>
      </c>
    </row>
    <row r="41" spans="1:8" ht="11.4">
      <c r="A41" s="429">
        <v>37</v>
      </c>
      <c r="B41" s="430" t="s">
        <v>594</v>
      </c>
      <c r="C41" s="430" t="s">
        <v>640</v>
      </c>
      <c r="D41" s="431">
        <v>44756</v>
      </c>
      <c r="E41" s="430"/>
      <c r="F41" s="429" t="s">
        <v>505</v>
      </c>
      <c r="G41" s="429" t="s">
        <v>505</v>
      </c>
    </row>
    <row r="42" spans="1:8" ht="22.8" hidden="1">
      <c r="A42" s="455"/>
      <c r="B42" s="456" t="s">
        <v>594</v>
      </c>
      <c r="C42" s="456" t="s">
        <v>641</v>
      </c>
      <c r="D42" s="457">
        <v>44798</v>
      </c>
      <c r="E42" s="456" t="s">
        <v>642</v>
      </c>
      <c r="F42" s="455" t="s">
        <v>505</v>
      </c>
      <c r="G42" s="455" t="s">
        <v>484</v>
      </c>
    </row>
    <row r="43" spans="1:8" ht="22.8" hidden="1">
      <c r="A43" s="455"/>
      <c r="B43" s="456" t="s">
        <v>594</v>
      </c>
      <c r="C43" s="456" t="s">
        <v>643</v>
      </c>
      <c r="D43" s="457">
        <v>44798</v>
      </c>
      <c r="E43" s="456" t="s">
        <v>642</v>
      </c>
      <c r="F43" s="455" t="s">
        <v>505</v>
      </c>
      <c r="G43" s="455" t="s">
        <v>484</v>
      </c>
    </row>
    <row r="44" spans="1:8" ht="11.4">
      <c r="A44" s="429">
        <v>38</v>
      </c>
      <c r="B44" s="430" t="s">
        <v>609</v>
      </c>
      <c r="C44" s="430" t="s">
        <v>644</v>
      </c>
      <c r="D44" s="431">
        <v>44804</v>
      </c>
      <c r="E44" s="430"/>
      <c r="F44" s="429" t="s">
        <v>505</v>
      </c>
      <c r="G44" s="429" t="s">
        <v>505</v>
      </c>
    </row>
    <row r="45" spans="1:8" ht="11.4">
      <c r="A45" s="429">
        <v>39</v>
      </c>
      <c r="B45" s="430" t="s">
        <v>619</v>
      </c>
      <c r="C45" s="430" t="s">
        <v>645</v>
      </c>
      <c r="D45" s="431">
        <v>44780</v>
      </c>
      <c r="E45" s="430"/>
      <c r="F45" s="429" t="s">
        <v>505</v>
      </c>
      <c r="G45" s="429" t="s">
        <v>505</v>
      </c>
    </row>
    <row r="46" spans="1:8" ht="11.4">
      <c r="A46" s="429">
        <v>40</v>
      </c>
      <c r="B46" s="430" t="s">
        <v>613</v>
      </c>
      <c r="C46" s="430" t="s">
        <v>646</v>
      </c>
      <c r="D46" s="431">
        <v>44812</v>
      </c>
      <c r="E46" s="430"/>
      <c r="F46" s="429" t="s">
        <v>505</v>
      </c>
      <c r="G46" s="429" t="s">
        <v>505</v>
      </c>
    </row>
    <row r="47" spans="1:8" ht="11.4">
      <c r="A47" s="429">
        <v>41</v>
      </c>
      <c r="B47" s="430" t="s">
        <v>619</v>
      </c>
      <c r="C47" s="430" t="s">
        <v>647</v>
      </c>
      <c r="D47" s="431">
        <v>44830</v>
      </c>
      <c r="E47" s="430"/>
      <c r="F47" s="429" t="s">
        <v>505</v>
      </c>
      <c r="G47" s="429" t="s">
        <v>505</v>
      </c>
    </row>
    <row r="48" spans="1:8" ht="22.8">
      <c r="A48" s="429">
        <v>42</v>
      </c>
      <c r="B48" s="430" t="s">
        <v>594</v>
      </c>
      <c r="C48" s="430" t="s">
        <v>648</v>
      </c>
      <c r="D48" s="431">
        <v>44889</v>
      </c>
      <c r="E48" s="430" t="s">
        <v>649</v>
      </c>
      <c r="F48" s="429" t="s">
        <v>505</v>
      </c>
      <c r="G48" s="429" t="s">
        <v>505</v>
      </c>
    </row>
    <row r="49" spans="1:8" ht="11.4">
      <c r="A49" s="429">
        <v>43</v>
      </c>
      <c r="B49" s="430" t="s">
        <v>594</v>
      </c>
      <c r="C49" s="430" t="s">
        <v>650</v>
      </c>
      <c r="D49" s="431">
        <v>44888</v>
      </c>
      <c r="E49" s="430"/>
      <c r="F49" s="429" t="s">
        <v>505</v>
      </c>
      <c r="G49" s="429" t="s">
        <v>505</v>
      </c>
    </row>
    <row r="50" spans="1:8" ht="11.4">
      <c r="A50" s="429">
        <v>44</v>
      </c>
      <c r="B50" s="430" t="s">
        <v>613</v>
      </c>
      <c r="C50" s="430" t="s">
        <v>651</v>
      </c>
      <c r="D50" s="431">
        <v>44894</v>
      </c>
      <c r="E50" s="430"/>
      <c r="F50" s="429" t="s">
        <v>505</v>
      </c>
      <c r="G50" s="429" t="s">
        <v>505</v>
      </c>
    </row>
    <row r="51" spans="1:8" ht="11.4">
      <c r="A51" s="429">
        <v>45</v>
      </c>
      <c r="B51" s="430" t="s">
        <v>652</v>
      </c>
      <c r="C51" s="430" t="s">
        <v>653</v>
      </c>
      <c r="D51" s="431">
        <v>44871</v>
      </c>
      <c r="E51" s="430"/>
      <c r="F51" s="429" t="s">
        <v>505</v>
      </c>
      <c r="G51" s="429" t="s">
        <v>505</v>
      </c>
    </row>
    <row r="52" spans="1:8" ht="11.4">
      <c r="A52" s="429">
        <v>46</v>
      </c>
      <c r="B52" s="430" t="s">
        <v>619</v>
      </c>
      <c r="C52" s="430" t="s">
        <v>654</v>
      </c>
      <c r="D52" s="431">
        <v>44894</v>
      </c>
      <c r="E52" s="430"/>
      <c r="F52" s="429" t="s">
        <v>505</v>
      </c>
      <c r="G52" s="429" t="s">
        <v>505</v>
      </c>
    </row>
    <row r="53" spans="1:8" ht="11.4">
      <c r="A53" s="429">
        <v>47</v>
      </c>
      <c r="B53" s="430" t="s">
        <v>619</v>
      </c>
      <c r="C53" s="430" t="s">
        <v>655</v>
      </c>
      <c r="D53" s="431">
        <v>44984</v>
      </c>
      <c r="E53" s="430"/>
      <c r="F53" s="429" t="s">
        <v>505</v>
      </c>
      <c r="G53" s="429" t="s">
        <v>505</v>
      </c>
    </row>
    <row r="54" spans="1:8" ht="11.4">
      <c r="A54" s="429">
        <v>48</v>
      </c>
      <c r="B54" s="430" t="s">
        <v>619</v>
      </c>
      <c r="C54" s="430" t="s">
        <v>656</v>
      </c>
      <c r="D54" s="431">
        <v>44986</v>
      </c>
      <c r="E54" s="430"/>
      <c r="F54" s="429" t="s">
        <v>505</v>
      </c>
      <c r="G54" s="429" t="s">
        <v>505</v>
      </c>
    </row>
    <row r="55" spans="1:8" ht="11.4">
      <c r="A55" s="429">
        <v>49</v>
      </c>
      <c r="B55" s="430" t="s">
        <v>619</v>
      </c>
      <c r="C55" s="430" t="s">
        <v>657</v>
      </c>
      <c r="D55" s="431">
        <v>44986</v>
      </c>
      <c r="E55" s="430"/>
      <c r="F55" s="429" t="s">
        <v>505</v>
      </c>
      <c r="G55" s="429" t="s">
        <v>505</v>
      </c>
    </row>
    <row r="56" spans="1:8" ht="11.4">
      <c r="A56" s="429">
        <v>50</v>
      </c>
      <c r="B56" s="430" t="s">
        <v>619</v>
      </c>
      <c r="C56" s="430" t="s">
        <v>658</v>
      </c>
      <c r="D56" s="431">
        <v>44986</v>
      </c>
      <c r="E56" s="430"/>
      <c r="F56" s="429" t="s">
        <v>505</v>
      </c>
      <c r="G56" s="429" t="s">
        <v>505</v>
      </c>
    </row>
    <row r="57" spans="1:8" ht="11.4">
      <c r="A57" s="429">
        <v>51</v>
      </c>
      <c r="B57" s="430" t="s">
        <v>619</v>
      </c>
      <c r="C57" s="430" t="s">
        <v>659</v>
      </c>
      <c r="D57" s="431">
        <v>45017</v>
      </c>
      <c r="E57" s="430" t="s">
        <v>660</v>
      </c>
      <c r="F57" s="429" t="s">
        <v>505</v>
      </c>
      <c r="G57" s="429" t="s">
        <v>505</v>
      </c>
    </row>
    <row r="58" spans="1:8" ht="11.4">
      <c r="A58" s="429">
        <v>52</v>
      </c>
      <c r="B58" s="430" t="s">
        <v>594</v>
      </c>
      <c r="C58" s="430" t="s">
        <v>661</v>
      </c>
      <c r="D58" s="431">
        <v>45064</v>
      </c>
      <c r="E58" s="430"/>
      <c r="F58" s="429" t="s">
        <v>505</v>
      </c>
      <c r="G58" s="429" t="s">
        <v>505</v>
      </c>
    </row>
    <row r="59" spans="1:8" ht="11.4">
      <c r="A59" s="429">
        <v>53</v>
      </c>
      <c r="B59" s="430" t="s">
        <v>609</v>
      </c>
      <c r="C59" s="430" t="s">
        <v>662</v>
      </c>
      <c r="D59" s="431">
        <v>45077</v>
      </c>
      <c r="E59" s="430"/>
      <c r="F59" s="429" t="s">
        <v>505</v>
      </c>
      <c r="G59" s="429" t="s">
        <v>505</v>
      </c>
    </row>
    <row r="60" spans="1:8" ht="11.4">
      <c r="A60" s="429">
        <v>54</v>
      </c>
      <c r="B60" s="430" t="s">
        <v>609</v>
      </c>
      <c r="C60" s="430" t="s">
        <v>663</v>
      </c>
      <c r="D60" s="431">
        <v>45077</v>
      </c>
      <c r="E60" s="430"/>
      <c r="F60" s="429" t="s">
        <v>505</v>
      </c>
      <c r="G60" s="429" t="s">
        <v>505</v>
      </c>
    </row>
    <row r="61" spans="1:8" ht="11.4" hidden="1">
      <c r="A61" s="455"/>
      <c r="B61" s="456" t="s">
        <v>652</v>
      </c>
      <c r="C61" s="456" t="s">
        <v>664</v>
      </c>
      <c r="D61" s="457">
        <v>45124</v>
      </c>
      <c r="E61" s="456" t="s">
        <v>665</v>
      </c>
      <c r="F61" s="455" t="s">
        <v>505</v>
      </c>
      <c r="G61" s="455" t="s">
        <v>484</v>
      </c>
      <c r="H61" s="514" t="s">
        <v>666</v>
      </c>
    </row>
    <row r="62" spans="1:8" ht="11.4" hidden="1">
      <c r="A62" s="455"/>
      <c r="B62" s="456" t="s">
        <v>652</v>
      </c>
      <c r="C62" s="456" t="s">
        <v>667</v>
      </c>
      <c r="D62" s="457">
        <v>45138</v>
      </c>
      <c r="E62" s="456" t="s">
        <v>665</v>
      </c>
      <c r="F62" s="455" t="s">
        <v>668</v>
      </c>
      <c r="G62" s="455" t="s">
        <v>484</v>
      </c>
      <c r="H62" s="514"/>
    </row>
    <row r="63" spans="1:8" ht="11.4" hidden="1">
      <c r="A63" s="455"/>
      <c r="B63" s="456" t="s">
        <v>652</v>
      </c>
      <c r="C63" s="456" t="s">
        <v>669</v>
      </c>
      <c r="D63" s="457">
        <v>45135</v>
      </c>
      <c r="E63" s="456" t="s">
        <v>665</v>
      </c>
      <c r="F63" s="455" t="s">
        <v>505</v>
      </c>
      <c r="G63" s="455" t="s">
        <v>484</v>
      </c>
      <c r="H63" s="514"/>
    </row>
    <row r="64" spans="1:8" ht="11.4">
      <c r="A64" s="429">
        <v>55</v>
      </c>
      <c r="B64" s="430" t="s">
        <v>609</v>
      </c>
      <c r="C64" s="430" t="s">
        <v>670</v>
      </c>
      <c r="D64" s="431">
        <v>45126</v>
      </c>
      <c r="E64" s="430"/>
      <c r="F64" s="429" t="s">
        <v>505</v>
      </c>
      <c r="G64" s="429" t="s">
        <v>505</v>
      </c>
    </row>
    <row r="65" spans="1:7" ht="11.4">
      <c r="A65" s="429">
        <v>56</v>
      </c>
      <c r="B65" s="430" t="s">
        <v>609</v>
      </c>
      <c r="C65" s="430" t="s">
        <v>671</v>
      </c>
      <c r="D65" s="431">
        <v>45177</v>
      </c>
      <c r="E65" s="430"/>
      <c r="F65" s="429" t="s">
        <v>505</v>
      </c>
      <c r="G65" s="429" t="s">
        <v>505</v>
      </c>
    </row>
    <row r="66" spans="1:7" ht="11.4">
      <c r="A66" s="429">
        <v>57</v>
      </c>
      <c r="B66" s="430" t="s">
        <v>609</v>
      </c>
      <c r="C66" s="430" t="s">
        <v>672</v>
      </c>
      <c r="D66" s="431">
        <v>45177</v>
      </c>
      <c r="E66" s="430"/>
      <c r="F66" s="429" t="s">
        <v>505</v>
      </c>
      <c r="G66" s="429" t="s">
        <v>505</v>
      </c>
    </row>
    <row r="67" spans="1:7" ht="11.4">
      <c r="A67" s="429">
        <v>58</v>
      </c>
      <c r="B67" s="430" t="s">
        <v>609</v>
      </c>
      <c r="C67" s="430" t="s">
        <v>673</v>
      </c>
      <c r="D67" s="431">
        <v>45177</v>
      </c>
      <c r="E67" s="430"/>
      <c r="F67" s="429" t="s">
        <v>505</v>
      </c>
      <c r="G67" s="429" t="s">
        <v>505</v>
      </c>
    </row>
    <row r="68" spans="1:7" ht="11.4">
      <c r="A68" s="429">
        <v>59</v>
      </c>
      <c r="B68" s="430" t="s">
        <v>609</v>
      </c>
      <c r="C68" s="430" t="s">
        <v>674</v>
      </c>
      <c r="D68" s="431">
        <v>45177</v>
      </c>
      <c r="E68" s="430"/>
      <c r="F68" s="429" t="s">
        <v>505</v>
      </c>
      <c r="G68" s="429" t="s">
        <v>505</v>
      </c>
    </row>
    <row r="69" spans="1:7" ht="22.8">
      <c r="A69" s="429">
        <v>60</v>
      </c>
      <c r="B69" s="430" t="s">
        <v>609</v>
      </c>
      <c r="C69" s="430" t="s">
        <v>675</v>
      </c>
      <c r="D69" s="431">
        <v>45251</v>
      </c>
      <c r="E69" s="430"/>
      <c r="F69" s="429" t="s">
        <v>505</v>
      </c>
      <c r="G69" s="429" t="s">
        <v>505</v>
      </c>
    </row>
    <row r="70" spans="1:7" ht="11.4">
      <c r="A70" s="429">
        <v>61</v>
      </c>
      <c r="B70" s="430" t="s">
        <v>609</v>
      </c>
      <c r="C70" s="430" t="s">
        <v>676</v>
      </c>
      <c r="D70" s="431">
        <v>45251</v>
      </c>
      <c r="E70" s="430"/>
      <c r="F70" s="429" t="s">
        <v>505</v>
      </c>
      <c r="G70" s="429" t="s">
        <v>505</v>
      </c>
    </row>
    <row r="71" spans="1:7" ht="11.4" hidden="1">
      <c r="A71" s="455"/>
      <c r="B71" s="456" t="s">
        <v>613</v>
      </c>
      <c r="C71" s="456" t="s">
        <v>677</v>
      </c>
      <c r="D71" s="457">
        <v>45251</v>
      </c>
      <c r="E71" s="456" t="s">
        <v>678</v>
      </c>
      <c r="F71" s="455" t="s">
        <v>505</v>
      </c>
      <c r="G71" s="455" t="s">
        <v>484</v>
      </c>
    </row>
    <row r="72" spans="1:7" ht="11.4">
      <c r="A72" s="429">
        <v>62</v>
      </c>
      <c r="B72" s="430" t="s">
        <v>609</v>
      </c>
      <c r="C72" s="430" t="s">
        <v>679</v>
      </c>
      <c r="D72" s="431">
        <v>45281</v>
      </c>
      <c r="E72" s="430"/>
      <c r="F72" s="429" t="s">
        <v>505</v>
      </c>
      <c r="G72" s="429" t="s">
        <v>505</v>
      </c>
    </row>
    <row r="73" spans="1:7" ht="11.4">
      <c r="A73" s="429">
        <v>63</v>
      </c>
      <c r="B73" s="430" t="s">
        <v>609</v>
      </c>
      <c r="C73" s="430" t="s">
        <v>680</v>
      </c>
      <c r="D73" s="431">
        <v>45503</v>
      </c>
      <c r="E73" s="430"/>
      <c r="F73" s="429" t="s">
        <v>505</v>
      </c>
      <c r="G73" s="429" t="s">
        <v>505</v>
      </c>
    </row>
    <row r="74" spans="1:7" ht="34.200000000000003" hidden="1">
      <c r="A74" s="455"/>
      <c r="B74" s="456" t="s">
        <v>609</v>
      </c>
      <c r="C74" s="456" t="s">
        <v>681</v>
      </c>
      <c r="D74" s="457">
        <v>45275</v>
      </c>
      <c r="E74" s="456" t="s">
        <v>682</v>
      </c>
      <c r="F74" s="455" t="s">
        <v>505</v>
      </c>
      <c r="G74" s="455" t="s">
        <v>484</v>
      </c>
    </row>
    <row r="75" spans="1:7" ht="11.4">
      <c r="A75" s="429">
        <v>64</v>
      </c>
      <c r="B75" s="430" t="s">
        <v>619</v>
      </c>
      <c r="C75" s="430" t="s">
        <v>683</v>
      </c>
      <c r="D75" s="431">
        <v>45428</v>
      </c>
      <c r="E75" s="430"/>
      <c r="F75" s="429" t="s">
        <v>505</v>
      </c>
      <c r="G75" s="429" t="s">
        <v>505</v>
      </c>
    </row>
    <row r="76" spans="1:7" ht="11.4">
      <c r="A76" s="429">
        <v>65</v>
      </c>
      <c r="B76" s="430" t="s">
        <v>609</v>
      </c>
      <c r="C76" s="430" t="s">
        <v>684</v>
      </c>
      <c r="D76" s="431">
        <v>45449</v>
      </c>
      <c r="E76" s="430"/>
      <c r="F76" s="429" t="s">
        <v>505</v>
      </c>
      <c r="G76" s="429" t="s">
        <v>505</v>
      </c>
    </row>
    <row r="77" spans="1:7" ht="11.4">
      <c r="A77" s="429">
        <v>66</v>
      </c>
      <c r="B77" s="430" t="s">
        <v>613</v>
      </c>
      <c r="C77" s="430" t="s">
        <v>685</v>
      </c>
      <c r="D77" s="431">
        <v>45497</v>
      </c>
      <c r="E77" s="430"/>
      <c r="F77" s="429" t="s">
        <v>505</v>
      </c>
      <c r="G77" s="429" t="s">
        <v>505</v>
      </c>
    </row>
    <row r="78" spans="1:7" ht="22.8" hidden="1">
      <c r="A78" s="455"/>
      <c r="B78" s="456" t="s">
        <v>609</v>
      </c>
      <c r="C78" s="456" t="s">
        <v>686</v>
      </c>
      <c r="D78" s="457">
        <v>45503</v>
      </c>
      <c r="E78" s="456" t="s">
        <v>687</v>
      </c>
      <c r="F78" s="455" t="s">
        <v>505</v>
      </c>
      <c r="G78" s="455" t="s">
        <v>484</v>
      </c>
    </row>
    <row r="79" spans="1:7" ht="22.8" hidden="1">
      <c r="A79" s="455"/>
      <c r="B79" s="456" t="s">
        <v>609</v>
      </c>
      <c r="C79" s="456" t="s">
        <v>688</v>
      </c>
      <c r="D79" s="462">
        <v>45503</v>
      </c>
      <c r="E79" s="456" t="s">
        <v>689</v>
      </c>
      <c r="F79" s="455" t="s">
        <v>505</v>
      </c>
      <c r="G79" s="455" t="s">
        <v>484</v>
      </c>
    </row>
    <row r="80" spans="1:7" ht="11.4">
      <c r="A80" s="429">
        <v>67</v>
      </c>
      <c r="B80" s="430" t="s">
        <v>609</v>
      </c>
      <c r="C80" s="430" t="s">
        <v>690</v>
      </c>
      <c r="D80" s="431">
        <v>45512</v>
      </c>
      <c r="E80" s="430"/>
      <c r="F80" s="429" t="s">
        <v>505</v>
      </c>
      <c r="G80" s="429" t="s">
        <v>505</v>
      </c>
    </row>
    <row r="81" spans="1:7" ht="11.4">
      <c r="A81" s="429">
        <v>68</v>
      </c>
      <c r="B81" s="430" t="s">
        <v>609</v>
      </c>
      <c r="C81" s="430" t="s">
        <v>691</v>
      </c>
      <c r="D81" s="454">
        <v>45516</v>
      </c>
      <c r="E81" s="430"/>
      <c r="F81" s="429" t="s">
        <v>505</v>
      </c>
      <c r="G81" s="429" t="s">
        <v>505</v>
      </c>
    </row>
    <row r="82" spans="1:7" ht="11.4">
      <c r="A82" s="429">
        <v>69</v>
      </c>
      <c r="B82" s="430" t="s">
        <v>594</v>
      </c>
      <c r="C82" s="430" t="s">
        <v>692</v>
      </c>
      <c r="D82" s="431">
        <v>45552</v>
      </c>
      <c r="E82" s="430"/>
      <c r="F82" s="429" t="s">
        <v>505</v>
      </c>
      <c r="G82" s="429" t="s">
        <v>505</v>
      </c>
    </row>
    <row r="83" spans="1:7" ht="11.4">
      <c r="A83" s="429">
        <v>70</v>
      </c>
      <c r="B83" s="430" t="s">
        <v>609</v>
      </c>
      <c r="C83" s="430" t="s">
        <v>693</v>
      </c>
      <c r="D83" s="454">
        <v>45558</v>
      </c>
      <c r="E83" s="430"/>
      <c r="F83" s="429" t="s">
        <v>505</v>
      </c>
      <c r="G83" s="429" t="s">
        <v>505</v>
      </c>
    </row>
    <row r="84" spans="1:7" ht="45.75" hidden="1" customHeight="1">
      <c r="A84" s="455"/>
      <c r="B84" s="456" t="s">
        <v>619</v>
      </c>
      <c r="C84" s="456" t="s">
        <v>694</v>
      </c>
      <c r="D84" s="462">
        <v>45323</v>
      </c>
      <c r="E84" s="456" t="s">
        <v>695</v>
      </c>
      <c r="F84" s="455" t="s">
        <v>505</v>
      </c>
      <c r="G84" s="455" t="s">
        <v>484</v>
      </c>
    </row>
    <row r="85" spans="1:7" ht="11.4">
      <c r="A85" s="429">
        <v>71</v>
      </c>
      <c r="B85" s="430" t="s">
        <v>652</v>
      </c>
      <c r="C85" s="430" t="s">
        <v>696</v>
      </c>
      <c r="D85" s="454">
        <v>45574</v>
      </c>
      <c r="E85" s="430"/>
      <c r="F85" s="429" t="s">
        <v>505</v>
      </c>
      <c r="G85" s="429" t="s">
        <v>505</v>
      </c>
    </row>
    <row r="86" spans="1:7" ht="91.2">
      <c r="A86" s="429">
        <v>72</v>
      </c>
      <c r="B86" s="430" t="s">
        <v>594</v>
      </c>
      <c r="C86" s="430" t="s">
        <v>697</v>
      </c>
      <c r="D86" s="454">
        <v>45576</v>
      </c>
      <c r="E86" s="430" t="s">
        <v>698</v>
      </c>
      <c r="F86" s="429" t="s">
        <v>505</v>
      </c>
      <c r="G86" s="429" t="s">
        <v>505</v>
      </c>
    </row>
    <row r="87" spans="1:7" ht="68.400000000000006" hidden="1">
      <c r="A87" s="455"/>
      <c r="B87" s="456" t="s">
        <v>594</v>
      </c>
      <c r="C87" s="456" t="s">
        <v>699</v>
      </c>
      <c r="D87" s="462">
        <v>45580</v>
      </c>
      <c r="E87" s="456" t="s">
        <v>700</v>
      </c>
      <c r="F87" s="455" t="s">
        <v>505</v>
      </c>
      <c r="G87" s="455" t="s">
        <v>484</v>
      </c>
    </row>
    <row r="88" spans="1:7" ht="11.4">
      <c r="A88" s="429">
        <v>73</v>
      </c>
      <c r="B88" s="430" t="s">
        <v>609</v>
      </c>
      <c r="C88" s="430" t="s">
        <v>701</v>
      </c>
      <c r="D88" s="454">
        <v>45624</v>
      </c>
      <c r="E88" s="430"/>
      <c r="F88" s="429" t="s">
        <v>505</v>
      </c>
      <c r="G88" s="429" t="s">
        <v>505</v>
      </c>
    </row>
    <row r="89" spans="1:7" ht="11.4">
      <c r="A89" s="429">
        <v>74</v>
      </c>
      <c r="B89" s="430" t="s">
        <v>609</v>
      </c>
      <c r="C89" s="430" t="s">
        <v>702</v>
      </c>
      <c r="D89" s="454">
        <v>45637</v>
      </c>
      <c r="E89" s="430"/>
      <c r="F89" s="429" t="s">
        <v>505</v>
      </c>
      <c r="G89" s="429" t="s">
        <v>505</v>
      </c>
    </row>
    <row r="90" spans="1:7" ht="11.4">
      <c r="A90" s="429">
        <v>75</v>
      </c>
      <c r="B90" s="430" t="s">
        <v>652</v>
      </c>
      <c r="C90" s="430" t="s">
        <v>703</v>
      </c>
      <c r="D90" s="454">
        <v>45642</v>
      </c>
      <c r="E90" s="430"/>
      <c r="F90" s="429" t="s">
        <v>505</v>
      </c>
      <c r="G90" s="429" t="s">
        <v>505</v>
      </c>
    </row>
    <row r="91" spans="1:7" ht="22.8">
      <c r="A91" s="429">
        <v>76</v>
      </c>
      <c r="B91" s="430" t="s">
        <v>609</v>
      </c>
      <c r="C91" s="430" t="s">
        <v>704</v>
      </c>
      <c r="D91" s="454">
        <v>45644</v>
      </c>
      <c r="E91" s="430"/>
      <c r="F91" s="429" t="s">
        <v>505</v>
      </c>
      <c r="G91" s="429" t="s">
        <v>505</v>
      </c>
    </row>
    <row r="92" spans="1:7" ht="11.4">
      <c r="A92" s="429">
        <v>77</v>
      </c>
      <c r="B92" s="430" t="s">
        <v>609</v>
      </c>
      <c r="C92" s="430" t="s">
        <v>705</v>
      </c>
      <c r="D92" s="454">
        <v>45702</v>
      </c>
      <c r="E92" s="430"/>
      <c r="F92" s="429" t="s">
        <v>505</v>
      </c>
      <c r="G92" s="429" t="s">
        <v>505</v>
      </c>
    </row>
    <row r="93" spans="1:7" ht="34.5" customHeight="1">
      <c r="A93" s="429">
        <v>78</v>
      </c>
      <c r="B93" s="430" t="s">
        <v>609</v>
      </c>
      <c r="C93" s="430" t="s">
        <v>706</v>
      </c>
      <c r="D93" s="454">
        <v>45726</v>
      </c>
      <c r="E93" s="430"/>
      <c r="F93" s="429" t="s">
        <v>505</v>
      </c>
      <c r="G93" s="429" t="s">
        <v>505</v>
      </c>
    </row>
    <row r="94" spans="1:7" ht="11.4">
      <c r="A94" s="429">
        <v>79</v>
      </c>
      <c r="B94" s="430" t="s">
        <v>619</v>
      </c>
      <c r="C94" s="430" t="s">
        <v>707</v>
      </c>
      <c r="D94" s="454">
        <v>45742</v>
      </c>
      <c r="E94" s="430"/>
      <c r="F94" s="429" t="s">
        <v>505</v>
      </c>
      <c r="G94" s="429" t="s">
        <v>505</v>
      </c>
    </row>
    <row r="95" spans="1:7" ht="11.4">
      <c r="A95" s="429">
        <v>80</v>
      </c>
      <c r="B95" s="430" t="s">
        <v>619</v>
      </c>
      <c r="C95" s="430" t="s">
        <v>708</v>
      </c>
      <c r="D95" s="454">
        <v>45742</v>
      </c>
      <c r="E95" s="430"/>
      <c r="F95" s="429" t="s">
        <v>505</v>
      </c>
      <c r="G95" s="429" t="s">
        <v>505</v>
      </c>
    </row>
    <row r="96" spans="1:7" ht="33" customHeight="1">
      <c r="A96" s="429">
        <v>81</v>
      </c>
      <c r="B96" s="430" t="s">
        <v>609</v>
      </c>
      <c r="C96" s="430" t="s">
        <v>709</v>
      </c>
      <c r="D96" s="454">
        <v>45757</v>
      </c>
      <c r="E96" s="430"/>
      <c r="F96" s="429" t="s">
        <v>505</v>
      </c>
      <c r="G96" s="429" t="s">
        <v>505</v>
      </c>
    </row>
    <row r="97" spans="1:7" ht="11.4">
      <c r="A97" s="429">
        <v>82</v>
      </c>
      <c r="B97" s="430" t="s">
        <v>619</v>
      </c>
      <c r="C97" s="430" t="s">
        <v>710</v>
      </c>
      <c r="D97" s="454">
        <v>45771</v>
      </c>
      <c r="E97" s="430"/>
      <c r="F97" s="429" t="s">
        <v>505</v>
      </c>
      <c r="G97" s="429" t="s">
        <v>505</v>
      </c>
    </row>
    <row r="98" spans="1:7" ht="11.4">
      <c r="A98" s="429">
        <v>83</v>
      </c>
      <c r="B98" s="430" t="s">
        <v>619</v>
      </c>
      <c r="C98" s="430" t="s">
        <v>711</v>
      </c>
      <c r="D98" s="454">
        <v>45771</v>
      </c>
      <c r="E98" s="430"/>
      <c r="F98" s="429" t="s">
        <v>505</v>
      </c>
      <c r="G98" s="429" t="s">
        <v>505</v>
      </c>
    </row>
    <row r="99" spans="1:7" ht="11.4">
      <c r="A99" s="429">
        <v>84</v>
      </c>
      <c r="B99" s="430" t="s">
        <v>594</v>
      </c>
      <c r="C99" s="430" t="s">
        <v>712</v>
      </c>
      <c r="D99" s="454">
        <v>45797</v>
      </c>
      <c r="E99" s="430"/>
      <c r="F99" s="429" t="s">
        <v>505</v>
      </c>
      <c r="G99" s="429" t="s">
        <v>505</v>
      </c>
    </row>
    <row r="100" spans="1:7" ht="11.4">
      <c r="A100" s="429">
        <v>85</v>
      </c>
      <c r="B100" s="430" t="s">
        <v>619</v>
      </c>
      <c r="C100" s="430" t="s">
        <v>713</v>
      </c>
      <c r="D100" s="454">
        <v>45807</v>
      </c>
      <c r="E100" s="430"/>
      <c r="F100" s="429" t="s">
        <v>505</v>
      </c>
      <c r="G100" s="429" t="s">
        <v>505</v>
      </c>
    </row>
    <row r="101" spans="1:7" ht="15" customHeight="1">
      <c r="A101" s="429">
        <v>86</v>
      </c>
      <c r="B101" s="430" t="s">
        <v>613</v>
      </c>
      <c r="C101" s="430" t="s">
        <v>714</v>
      </c>
      <c r="D101" s="454">
        <v>45817</v>
      </c>
      <c r="E101" s="430"/>
      <c r="F101" s="429" t="s">
        <v>505</v>
      </c>
      <c r="G101" s="429" t="s">
        <v>505</v>
      </c>
    </row>
    <row r="102" spans="1:7" ht="15" customHeight="1">
      <c r="A102" s="429">
        <v>87</v>
      </c>
      <c r="B102" s="463" t="s">
        <v>619</v>
      </c>
      <c r="C102" s="463" t="s">
        <v>715</v>
      </c>
      <c r="D102" s="464">
        <v>45818</v>
      </c>
      <c r="E102" s="463" t="s">
        <v>716</v>
      </c>
      <c r="F102" s="465" t="s">
        <v>505</v>
      </c>
      <c r="G102" s="465" t="s">
        <v>505</v>
      </c>
    </row>
    <row r="103" spans="1:7" ht="15" customHeight="1">
      <c r="A103" s="429">
        <v>88</v>
      </c>
      <c r="B103" s="430" t="s">
        <v>594</v>
      </c>
      <c r="C103" s="430" t="s">
        <v>717</v>
      </c>
      <c r="D103" s="454">
        <v>45824</v>
      </c>
      <c r="E103" s="430"/>
      <c r="F103" s="429" t="s">
        <v>505</v>
      </c>
      <c r="G103" s="429" t="s">
        <v>505</v>
      </c>
    </row>
    <row r="104" spans="1:7" ht="28.5" customHeight="1">
      <c r="A104" s="429">
        <v>89</v>
      </c>
      <c r="B104" s="430" t="s">
        <v>594</v>
      </c>
      <c r="C104" s="430" t="s">
        <v>718</v>
      </c>
      <c r="D104" s="454">
        <v>45852</v>
      </c>
      <c r="E104" s="430"/>
      <c r="F104" s="429" t="s">
        <v>505</v>
      </c>
      <c r="G104" s="429" t="s">
        <v>505</v>
      </c>
    </row>
    <row r="105" spans="1:7" ht="15" hidden="1" customHeight="1">
      <c r="A105" s="455"/>
      <c r="B105" s="456" t="s">
        <v>609</v>
      </c>
      <c r="C105" s="456" t="s">
        <v>719</v>
      </c>
      <c r="D105" s="462" t="s">
        <v>720</v>
      </c>
      <c r="E105" s="456" t="s">
        <v>721</v>
      </c>
      <c r="F105" s="455" t="s">
        <v>505</v>
      </c>
      <c r="G105" s="455" t="s">
        <v>484</v>
      </c>
    </row>
    <row r="106" spans="1:7" ht="15" customHeight="1">
      <c r="A106" s="429">
        <v>90</v>
      </c>
      <c r="B106" s="430" t="s">
        <v>619</v>
      </c>
      <c r="C106" s="430" t="s">
        <v>722</v>
      </c>
      <c r="D106" s="454">
        <v>45861</v>
      </c>
      <c r="E106" s="430"/>
      <c r="F106" s="429" t="s">
        <v>505</v>
      </c>
      <c r="G106" s="429" t="s">
        <v>505</v>
      </c>
    </row>
    <row r="107" spans="1:7" ht="39.75" hidden="1" customHeight="1">
      <c r="A107" s="429"/>
      <c r="B107" s="430" t="s">
        <v>594</v>
      </c>
      <c r="C107" s="430" t="s">
        <v>723</v>
      </c>
      <c r="D107" s="454">
        <v>45867</v>
      </c>
      <c r="E107" s="429" t="s">
        <v>724</v>
      </c>
      <c r="F107" s="429" t="s">
        <v>505</v>
      </c>
      <c r="G107" s="429" t="s">
        <v>505</v>
      </c>
    </row>
    <row r="108" spans="1:7" ht="41.25" hidden="1" customHeight="1">
      <c r="A108" s="429"/>
      <c r="B108" s="430" t="s">
        <v>594</v>
      </c>
      <c r="C108" s="430" t="s">
        <v>725</v>
      </c>
      <c r="D108" s="454">
        <v>45867</v>
      </c>
      <c r="E108" s="429" t="s">
        <v>724</v>
      </c>
      <c r="F108" s="429" t="s">
        <v>505</v>
      </c>
      <c r="G108" s="429" t="s">
        <v>505</v>
      </c>
    </row>
    <row r="109" spans="1:7" ht="15" customHeight="1">
      <c r="A109" s="429">
        <v>91</v>
      </c>
      <c r="B109" s="430" t="s">
        <v>594</v>
      </c>
      <c r="C109" s="430" t="s">
        <v>726</v>
      </c>
      <c r="D109" s="454">
        <v>45869</v>
      </c>
      <c r="E109" s="430"/>
      <c r="F109" s="429" t="s">
        <v>505</v>
      </c>
      <c r="G109" s="429" t="s">
        <v>505</v>
      </c>
    </row>
    <row r="110" spans="1:7" ht="15" customHeight="1">
      <c r="A110" s="429">
        <v>92</v>
      </c>
      <c r="B110" s="430" t="s">
        <v>619</v>
      </c>
      <c r="C110" s="430" t="s">
        <v>727</v>
      </c>
      <c r="D110" s="454">
        <v>45877</v>
      </c>
      <c r="E110" s="430"/>
      <c r="F110" s="429" t="s">
        <v>505</v>
      </c>
      <c r="G110" s="429" t="s">
        <v>505</v>
      </c>
    </row>
    <row r="111" spans="1:7" ht="15" customHeight="1">
      <c r="A111" s="429">
        <v>93</v>
      </c>
      <c r="B111" s="430" t="s">
        <v>619</v>
      </c>
      <c r="C111" s="430" t="s">
        <v>728</v>
      </c>
      <c r="D111" s="454">
        <v>45908</v>
      </c>
      <c r="E111" s="430"/>
      <c r="F111" s="429" t="s">
        <v>505</v>
      </c>
      <c r="G111" s="429" t="s">
        <v>505</v>
      </c>
    </row>
    <row r="112" spans="1:7" ht="15" customHeight="1">
      <c r="A112" s="429">
        <v>94</v>
      </c>
      <c r="B112" s="430" t="s">
        <v>619</v>
      </c>
      <c r="C112" s="430" t="s">
        <v>729</v>
      </c>
      <c r="D112" s="454">
        <v>45951</v>
      </c>
      <c r="E112" s="430"/>
      <c r="F112" s="429" t="s">
        <v>505</v>
      </c>
      <c r="G112" s="429" t="s">
        <v>505</v>
      </c>
    </row>
    <row r="113" spans="1:7" ht="46.5" customHeight="1">
      <c r="A113" s="429">
        <v>95</v>
      </c>
      <c r="B113" s="430" t="s">
        <v>594</v>
      </c>
      <c r="C113" s="430" t="s">
        <v>730</v>
      </c>
      <c r="D113" s="454">
        <v>46008</v>
      </c>
      <c r="E113" s="429" t="s">
        <v>731</v>
      </c>
      <c r="F113" s="429" t="s">
        <v>505</v>
      </c>
      <c r="G113" s="429" t="s">
        <v>505</v>
      </c>
    </row>
    <row r="114" spans="1:7" ht="15" customHeight="1">
      <c r="A114" s="429">
        <v>96</v>
      </c>
      <c r="B114" s="430" t="s">
        <v>594</v>
      </c>
      <c r="C114" s="430" t="s">
        <v>732</v>
      </c>
      <c r="D114" s="454">
        <v>46078</v>
      </c>
      <c r="E114" s="429"/>
      <c r="F114" s="429" t="s">
        <v>505</v>
      </c>
      <c r="G114" s="429" t="s">
        <v>505</v>
      </c>
    </row>
    <row r="115" spans="1:7" ht="15" customHeight="1">
      <c r="A115" s="429">
        <v>97</v>
      </c>
      <c r="B115" s="430" t="s">
        <v>594</v>
      </c>
      <c r="C115" s="430" t="s">
        <v>733</v>
      </c>
      <c r="D115" s="454">
        <v>46086</v>
      </c>
      <c r="E115" s="429"/>
      <c r="F115" s="429" t="s">
        <v>505</v>
      </c>
      <c r="G115" s="429" t="s">
        <v>505</v>
      </c>
    </row>
    <row r="116" spans="1:7" ht="15" hidden="1" customHeight="1">
      <c r="D116" s="469"/>
      <c r="E116" s="470"/>
    </row>
    <row r="117" spans="1:7" ht="15" hidden="1" customHeight="1">
      <c r="D117" s="469"/>
      <c r="E117" s="470"/>
    </row>
    <row r="118" spans="1:7" ht="15" hidden="1" customHeight="1">
      <c r="D118" s="469"/>
      <c r="E118" s="470"/>
    </row>
    <row r="119" spans="1:7" ht="15" hidden="1" customHeight="1">
      <c r="D119" s="469"/>
      <c r="E119" s="470"/>
    </row>
    <row r="120" spans="1:7" ht="15" hidden="1" customHeight="1">
      <c r="D120" s="469"/>
      <c r="E120" s="470"/>
    </row>
    <row r="121" spans="1:7" ht="15" hidden="1" customHeight="1">
      <c r="D121" s="469"/>
      <c r="E121" s="470"/>
    </row>
    <row r="122" spans="1:7" ht="15" hidden="1" customHeight="1">
      <c r="D122" s="469"/>
      <c r="E122" s="470"/>
    </row>
    <row r="123" spans="1:7" ht="15" hidden="1" customHeight="1">
      <c r="D123" s="469"/>
      <c r="E123" s="470"/>
    </row>
    <row r="124" spans="1:7" ht="15" hidden="1" customHeight="1">
      <c r="D124" s="469"/>
      <c r="E124" s="470"/>
    </row>
    <row r="125" spans="1:7" ht="15" hidden="1" customHeight="1">
      <c r="D125" s="469"/>
      <c r="E125" s="470"/>
    </row>
    <row r="126" spans="1:7" ht="15" hidden="1" customHeight="1">
      <c r="D126" s="469"/>
      <c r="E126" s="470"/>
    </row>
    <row r="127" spans="1:7" ht="15" hidden="1" customHeight="1">
      <c r="D127" s="469"/>
      <c r="E127" s="470"/>
    </row>
    <row r="128" spans="1:7" ht="15" hidden="1" customHeight="1">
      <c r="D128" s="469"/>
      <c r="E128" s="470"/>
    </row>
    <row r="129" spans="4:5" ht="15" hidden="1" customHeight="1">
      <c r="D129" s="469"/>
      <c r="E129" s="470"/>
    </row>
    <row r="130" spans="4:5" ht="15" hidden="1" customHeight="1">
      <c r="D130" s="469"/>
      <c r="E130" s="470"/>
    </row>
    <row r="131" spans="4:5" ht="15" hidden="1" customHeight="1">
      <c r="D131" s="469"/>
      <c r="E131" s="470"/>
    </row>
    <row r="132" spans="4:5" ht="15" hidden="1" customHeight="1">
      <c r="D132" s="469"/>
      <c r="E132" s="470"/>
    </row>
    <row r="133" spans="4:5" ht="15" hidden="1" customHeight="1">
      <c r="D133" s="469"/>
      <c r="E133" s="470"/>
    </row>
    <row r="134" spans="4:5" ht="15" hidden="1" customHeight="1">
      <c r="D134" s="469"/>
      <c r="E134" s="470"/>
    </row>
    <row r="135" spans="4:5" ht="15" hidden="1" customHeight="1">
      <c r="D135" s="469"/>
      <c r="E135" s="470"/>
    </row>
    <row r="136" spans="4:5" ht="15" hidden="1" customHeight="1">
      <c r="D136" s="469"/>
      <c r="E136" s="470"/>
    </row>
    <row r="137" spans="4:5" ht="15" hidden="1" customHeight="1">
      <c r="D137" s="469"/>
      <c r="E137" s="470"/>
    </row>
    <row r="138" spans="4:5" ht="15" hidden="1" customHeight="1">
      <c r="D138" s="469"/>
      <c r="E138" s="470"/>
    </row>
    <row r="139" spans="4:5" ht="15" hidden="1" customHeight="1">
      <c r="D139" s="469"/>
      <c r="E139" s="470"/>
    </row>
    <row r="140" spans="4:5" ht="15" hidden="1" customHeight="1">
      <c r="D140" s="469"/>
      <c r="E140" s="470"/>
    </row>
    <row r="141" spans="4:5" ht="15" hidden="1" customHeight="1">
      <c r="D141" s="469"/>
      <c r="E141" s="470"/>
    </row>
    <row r="142" spans="4:5" ht="15" hidden="1" customHeight="1">
      <c r="D142" s="469"/>
      <c r="E142" s="470"/>
    </row>
    <row r="143" spans="4:5" ht="15" hidden="1" customHeight="1">
      <c r="D143" s="469"/>
      <c r="E143" s="471"/>
    </row>
    <row r="144" spans="4:5" ht="15" hidden="1" customHeight="1">
      <c r="D144" s="469"/>
      <c r="E144" s="470"/>
    </row>
    <row r="145" spans="4:5" ht="15" hidden="1" customHeight="1">
      <c r="D145" s="469"/>
      <c r="E145" s="471"/>
    </row>
    <row r="146" spans="4:5" ht="15" hidden="1" customHeight="1">
      <c r="D146" s="469"/>
      <c r="E146" s="470"/>
    </row>
    <row r="147" spans="4:5" ht="15" hidden="1" customHeight="1">
      <c r="D147" s="469"/>
      <c r="E147" s="470"/>
    </row>
  </sheetData>
  <autoFilter ref="A1:H147" xr:uid="{B9D4CBB8-F42E-4E4A-9AA3-CBF22A096681}">
    <filterColumn colId="6">
      <filters>
        <filter val="Si"/>
      </filters>
    </filterColumn>
  </autoFilter>
  <mergeCells count="1">
    <mergeCell ref="H61:H6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ba80cfd-0c5e-490f-8203-6cf0a6e5fb5f">
      <Terms xmlns="http://schemas.microsoft.com/office/infopath/2007/PartnerControls"/>
    </lcf76f155ced4ddcb4097134ff3c332f>
    <TaxCatchAll xmlns="69a63b02-be6f-460a-ad1e-67da163776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AC124FB927685449DC93067FC45AE5C" ma:contentTypeVersion="13" ma:contentTypeDescription="Crear nuevo documento." ma:contentTypeScope="" ma:versionID="ef47ae09c9ad614fcb7e13dac00fc503">
  <xsd:schema xmlns:xsd="http://www.w3.org/2001/XMLSchema" xmlns:xs="http://www.w3.org/2001/XMLSchema" xmlns:p="http://schemas.microsoft.com/office/2006/metadata/properties" xmlns:ns2="eba80cfd-0c5e-490f-8203-6cf0a6e5fb5f" xmlns:ns3="69a63b02-be6f-460a-ad1e-67da163776a5" targetNamespace="http://schemas.microsoft.com/office/2006/metadata/properties" ma:root="true" ma:fieldsID="3a793324d4d1a71a1fddff1edd1bc587" ns2:_="" ns3:_="">
    <xsd:import namespace="eba80cfd-0c5e-490f-8203-6cf0a6e5fb5f"/>
    <xsd:import namespace="69a63b02-be6f-460a-ad1e-67da163776a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a80cfd-0c5e-490f-8203-6cf0a6e5fb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8d1465ab-4155-4cd7-b73d-6f8e176f720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a63b02-be6f-460a-ad1e-67da163776a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6ad9d37-085a-4978-9357-caca85f382d7}" ma:internalName="TaxCatchAll" ma:showField="CatchAllData" ma:web="69a63b02-be6f-460a-ad1e-67da163776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125DA0-32A9-4B71-B3D5-3CDC09EEDAF2}">
  <ds:schemaRefs>
    <ds:schemaRef ds:uri="http://schemas.microsoft.com/office/2006/metadata/properties"/>
    <ds:schemaRef ds:uri="http://schemas.microsoft.com/office/infopath/2007/PartnerControls"/>
    <ds:schemaRef ds:uri="eba80cfd-0c5e-490f-8203-6cf0a6e5fb5f"/>
    <ds:schemaRef ds:uri="69a63b02-be6f-460a-ad1e-67da163776a5"/>
  </ds:schemaRefs>
</ds:datastoreItem>
</file>

<file path=customXml/itemProps2.xml><?xml version="1.0" encoding="utf-8"?>
<ds:datastoreItem xmlns:ds="http://schemas.openxmlformats.org/officeDocument/2006/customXml" ds:itemID="{52AF1A1F-8B43-42C7-9D2C-05D1466C6B9C}">
  <ds:schemaRefs>
    <ds:schemaRef ds:uri="http://schemas.microsoft.com/sharepoint/v3/contenttype/forms"/>
  </ds:schemaRefs>
</ds:datastoreItem>
</file>

<file path=customXml/itemProps3.xml><?xml version="1.0" encoding="utf-8"?>
<ds:datastoreItem xmlns:ds="http://schemas.openxmlformats.org/officeDocument/2006/customXml" ds:itemID="{0B396966-40A3-44C6-8AC0-18B34B0737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a80cfd-0c5e-490f-8203-6cf0a6e5fb5f"/>
    <ds:schemaRef ds:uri="69a63b02-be6f-460a-ad1e-67da163776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Histórico</vt:lpstr>
      <vt:lpstr>2024</vt:lpstr>
      <vt:lpstr>2025</vt:lpstr>
      <vt:lpstr>2026</vt:lpstr>
      <vt:lpstr>Ecosistema wBA</vt:lpstr>
      <vt:lpstr>Servicios EXP-OBE</vt:lpstr>
      <vt:lpstr>Iteración indicadores JGM</vt:lpstr>
      <vt:lpstr>Derivaciones Boti 2019-2026</vt:lpstr>
      <vt:lpstr>Integraciones Boti VF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Eduardo Damian Veralli</dc:creator>
  <cp:keywords/>
  <dc:description/>
  <cp:lastModifiedBy>Eduardo Damian Veralli</cp:lastModifiedBy>
  <cp:revision/>
  <dcterms:created xsi:type="dcterms:W3CDTF">2024-07-02T14:47:39Z</dcterms:created>
  <dcterms:modified xsi:type="dcterms:W3CDTF">2026-03-17T14:48:48Z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0x0101009AC124FB927685449DC93067FC45AE5C</vt:lpwstr>
  </property>
  <property fmtid="{D5CDD505-2E9C-101B-9397-08002B2CF9AE}" pid="3" name="xd_ProgID">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MediaServiceImageTags">
    <vt:lpwstr/>
  </property>
</Properties>
</file>